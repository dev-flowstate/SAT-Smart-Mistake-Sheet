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CB7CBF4B-8801-4337-897E-3F2A231507F6}" xr6:coauthVersionLast="47" xr6:coauthVersionMax="47" xr10:uidLastSave="{00000000-0000-0000-0000-000000000000}"/>
  <bookViews>
    <workbookView xWindow="-108" yWindow="-108" windowWidth="23256" windowHeight="12456" tabRatio="500" xr2:uid="{00000000-000D-0000-FFFF-FFFF00000000}"/>
  </bookViews>
  <sheets>
    <sheet name="Mistake Log" sheetId="1" r:id="rId1"/>
    <sheet name="Dashboard" sheetId="2" r:id="rId2"/>
    <sheet name="How To Use" sheetId="3" r:id="rId3"/>
    <sheet name="Lists" sheetId="4" r:id="rId4"/>
  </sheets>
  <functionGroups builtInGroupCount="19"/>
  <definedNames>
    <definedName name="_xlnm._FilterDatabase" localSheetId="0" hidden="1">'Mistake Log'!$A$4:$M$304</definedName>
    <definedName name="ModuleList">Lists!$H$2:$H$3</definedName>
    <definedName name="PriorityList">Lists!$C$2:$C$4</definedName>
    <definedName name="secMath">Lists!$G$2:$G$20</definedName>
    <definedName name="secRW">Lists!$F$2:$F$12</definedName>
    <definedName name="SectionList">Lists!$A$2:$A$3</definedName>
    <definedName name="StatusList">Lists!$D$2:$D$4</definedName>
    <definedName name="TestList">Lists!$E$2:$E$10</definedName>
    <definedName name="TypeList">Lists!$B$2:$B$10</definedName>
  </definedNames>
  <calcPr calcId="181029" iterateDelta="1E-4"/>
</workbook>
</file>

<file path=xl/calcChain.xml><?xml version="1.0" encoding="utf-8"?>
<calcChain xmlns="http://schemas.openxmlformats.org/spreadsheetml/2006/main">
  <c r="K31" i="4" l="1"/>
  <c r="L31" i="4" s="1"/>
  <c r="K30" i="4"/>
  <c r="L30" i="4" s="1"/>
  <c r="K29" i="4"/>
  <c r="L29" i="4" s="1"/>
  <c r="K28" i="4"/>
  <c r="L28" i="4" s="1"/>
  <c r="K27" i="4"/>
  <c r="L27" i="4" s="1"/>
  <c r="K26" i="4"/>
  <c r="L26" i="4" s="1"/>
  <c r="K25" i="4"/>
  <c r="L25" i="4" s="1"/>
  <c r="K24" i="4"/>
  <c r="L24" i="4" s="1"/>
  <c r="K23" i="4"/>
  <c r="L23" i="4" s="1"/>
  <c r="K22" i="4"/>
  <c r="L22" i="4" s="1"/>
  <c r="K21" i="4"/>
  <c r="L21" i="4" s="1"/>
  <c r="K20" i="4"/>
  <c r="L20" i="4" s="1"/>
  <c r="K19" i="4"/>
  <c r="L19" i="4" s="1"/>
  <c r="K18" i="4"/>
  <c r="L18" i="4" s="1"/>
  <c r="K17" i="4"/>
  <c r="L17" i="4" s="1"/>
  <c r="K16" i="4"/>
  <c r="L16" i="4" s="1"/>
  <c r="K15" i="4"/>
  <c r="L15" i="4" s="1"/>
  <c r="K14" i="4"/>
  <c r="L14" i="4" s="1"/>
  <c r="K13" i="4"/>
  <c r="L13" i="4" s="1"/>
  <c r="K12" i="4"/>
  <c r="L12" i="4" s="1"/>
  <c r="K11" i="4"/>
  <c r="L11" i="4" s="1"/>
  <c r="K10" i="4"/>
  <c r="L10" i="4" s="1"/>
  <c r="K9" i="4"/>
  <c r="L9" i="4" s="1"/>
  <c r="K8" i="4"/>
  <c r="L8" i="4" s="1"/>
  <c r="K7" i="4"/>
  <c r="L7" i="4" s="1"/>
  <c r="K6" i="4"/>
  <c r="L6" i="4" s="1"/>
  <c r="K5" i="4"/>
  <c r="L5" i="4" s="1"/>
  <c r="K4" i="4"/>
  <c r="L4" i="4" s="1"/>
  <c r="K3" i="4"/>
  <c r="L3" i="4" s="1"/>
  <c r="K2" i="4"/>
  <c r="L2" i="4" s="1"/>
  <c r="E35" i="2"/>
  <c r="E34" i="2"/>
  <c r="E33" i="2"/>
  <c r="E32" i="2"/>
  <c r="E31" i="2"/>
  <c r="E30" i="2"/>
  <c r="E29" i="2"/>
  <c r="E28" i="2"/>
  <c r="E27" i="2"/>
  <c r="E20" i="2"/>
  <c r="B20" i="2"/>
  <c r="E19" i="2"/>
  <c r="B19" i="2"/>
  <c r="E18" i="2"/>
  <c r="B18" i="2"/>
  <c r="E13" i="2"/>
  <c r="E12" i="2"/>
  <c r="E11" i="2"/>
  <c r="E10" i="2"/>
  <c r="E9" i="2"/>
  <c r="E8" i="2"/>
  <c r="E7" i="2"/>
  <c r="E6" i="2"/>
  <c r="B6" i="2"/>
  <c r="E5" i="2"/>
  <c r="B5" i="2"/>
  <c r="P304" i="1"/>
  <c r="O304" i="1"/>
  <c r="P303" i="1"/>
  <c r="O303" i="1"/>
  <c r="P302" i="1"/>
  <c r="O302" i="1"/>
  <c r="P301" i="1"/>
  <c r="O301" i="1"/>
  <c r="P300" i="1"/>
  <c r="O300" i="1"/>
  <c r="P299" i="1"/>
  <c r="O299" i="1"/>
  <c r="P298" i="1"/>
  <c r="O298" i="1"/>
  <c r="P297" i="1"/>
  <c r="O297" i="1"/>
  <c r="P296" i="1"/>
  <c r="O296" i="1"/>
  <c r="P295" i="1"/>
  <c r="O295" i="1"/>
  <c r="P294" i="1"/>
  <c r="O294" i="1"/>
  <c r="P293" i="1"/>
  <c r="O293" i="1"/>
  <c r="P292" i="1"/>
  <c r="O292" i="1"/>
  <c r="P291" i="1"/>
  <c r="O291" i="1"/>
  <c r="P290" i="1"/>
  <c r="O290" i="1"/>
  <c r="P289" i="1"/>
  <c r="O289" i="1"/>
  <c r="P288" i="1"/>
  <c r="O288" i="1"/>
  <c r="P287" i="1"/>
  <c r="O287" i="1"/>
  <c r="P286" i="1"/>
  <c r="O286" i="1"/>
  <c r="P285" i="1"/>
  <c r="O285" i="1"/>
  <c r="P284" i="1"/>
  <c r="O284" i="1"/>
  <c r="P283" i="1"/>
  <c r="O283" i="1"/>
  <c r="P282" i="1"/>
  <c r="O282" i="1"/>
  <c r="P281" i="1"/>
  <c r="O281" i="1"/>
  <c r="P280" i="1"/>
  <c r="O280" i="1"/>
  <c r="P279" i="1"/>
  <c r="O279" i="1"/>
  <c r="P278" i="1"/>
  <c r="O278" i="1"/>
  <c r="P277" i="1"/>
  <c r="O277" i="1"/>
  <c r="P276" i="1"/>
  <c r="O276" i="1"/>
  <c r="P275" i="1"/>
  <c r="O275" i="1"/>
  <c r="P274" i="1"/>
  <c r="O274" i="1"/>
  <c r="P273" i="1"/>
  <c r="O273" i="1"/>
  <c r="P272" i="1"/>
  <c r="O272" i="1"/>
  <c r="P271" i="1"/>
  <c r="O271" i="1"/>
  <c r="P270" i="1"/>
  <c r="O270" i="1"/>
  <c r="P269" i="1"/>
  <c r="O269" i="1"/>
  <c r="P268" i="1"/>
  <c r="O268" i="1"/>
  <c r="P267" i="1"/>
  <c r="O267" i="1"/>
  <c r="P266" i="1"/>
  <c r="O266" i="1"/>
  <c r="P265" i="1"/>
  <c r="O265" i="1"/>
  <c r="P264" i="1"/>
  <c r="O264" i="1"/>
  <c r="P263" i="1"/>
  <c r="O263" i="1"/>
  <c r="P262" i="1"/>
  <c r="O262" i="1"/>
  <c r="P261" i="1"/>
  <c r="O261" i="1"/>
  <c r="P260" i="1"/>
  <c r="O260" i="1"/>
  <c r="P259" i="1"/>
  <c r="O259" i="1"/>
  <c r="P258" i="1"/>
  <c r="O258" i="1"/>
  <c r="P257" i="1"/>
  <c r="O257" i="1"/>
  <c r="P256" i="1"/>
  <c r="O256" i="1"/>
  <c r="P255" i="1"/>
  <c r="O255" i="1"/>
  <c r="P254" i="1"/>
  <c r="O254" i="1"/>
  <c r="P253" i="1"/>
  <c r="O253" i="1"/>
  <c r="P252" i="1"/>
  <c r="O252" i="1"/>
  <c r="P251" i="1"/>
  <c r="O251" i="1"/>
  <c r="P250" i="1"/>
  <c r="O250" i="1"/>
  <c r="P249" i="1"/>
  <c r="O249" i="1"/>
  <c r="P248" i="1"/>
  <c r="O248" i="1"/>
  <c r="P247" i="1"/>
  <c r="O247" i="1"/>
  <c r="P246" i="1"/>
  <c r="O246" i="1"/>
  <c r="P245" i="1"/>
  <c r="O245" i="1"/>
  <c r="P244" i="1"/>
  <c r="O244" i="1"/>
  <c r="P243" i="1"/>
  <c r="O243" i="1"/>
  <c r="P242" i="1"/>
  <c r="O242" i="1"/>
  <c r="P241" i="1"/>
  <c r="O241" i="1"/>
  <c r="P240" i="1"/>
  <c r="O240" i="1"/>
  <c r="P239" i="1"/>
  <c r="O239" i="1"/>
  <c r="P238" i="1"/>
  <c r="O238" i="1"/>
  <c r="P237" i="1"/>
  <c r="O237" i="1"/>
  <c r="P236" i="1"/>
  <c r="O236" i="1"/>
  <c r="P235" i="1"/>
  <c r="O235" i="1"/>
  <c r="P234" i="1"/>
  <c r="O234" i="1"/>
  <c r="P233" i="1"/>
  <c r="O233" i="1"/>
  <c r="P232" i="1"/>
  <c r="O232" i="1"/>
  <c r="P231" i="1"/>
  <c r="O231" i="1"/>
  <c r="P230" i="1"/>
  <c r="O230" i="1"/>
  <c r="P229" i="1"/>
  <c r="O229" i="1"/>
  <c r="P228" i="1"/>
  <c r="O228" i="1"/>
  <c r="P227" i="1"/>
  <c r="O227" i="1"/>
  <c r="P226" i="1"/>
  <c r="O226" i="1"/>
  <c r="P225" i="1"/>
  <c r="O225" i="1"/>
  <c r="P224" i="1"/>
  <c r="O224" i="1"/>
  <c r="P223" i="1"/>
  <c r="O223" i="1"/>
  <c r="P222" i="1"/>
  <c r="O222" i="1"/>
  <c r="P221" i="1"/>
  <c r="O221" i="1"/>
  <c r="P220" i="1"/>
  <c r="O220" i="1"/>
  <c r="P219" i="1"/>
  <c r="O219" i="1"/>
  <c r="P218" i="1"/>
  <c r="O218" i="1"/>
  <c r="P217" i="1"/>
  <c r="O217" i="1"/>
  <c r="P216" i="1"/>
  <c r="O216" i="1"/>
  <c r="P215" i="1"/>
  <c r="O215" i="1"/>
  <c r="P214" i="1"/>
  <c r="O214" i="1"/>
  <c r="P213" i="1"/>
  <c r="O213" i="1"/>
  <c r="P212" i="1"/>
  <c r="O212" i="1"/>
  <c r="P211" i="1"/>
  <c r="O211" i="1"/>
  <c r="P210" i="1"/>
  <c r="O210" i="1"/>
  <c r="P209" i="1"/>
  <c r="O209" i="1"/>
  <c r="P208" i="1"/>
  <c r="O208" i="1"/>
  <c r="P207" i="1"/>
  <c r="O207" i="1"/>
  <c r="P206" i="1"/>
  <c r="O206" i="1"/>
  <c r="P205" i="1"/>
  <c r="O205" i="1"/>
  <c r="P204" i="1"/>
  <c r="O204" i="1"/>
  <c r="P203" i="1"/>
  <c r="O203" i="1"/>
  <c r="P202" i="1"/>
  <c r="O202" i="1"/>
  <c r="P201" i="1"/>
  <c r="O201" i="1"/>
  <c r="P200" i="1"/>
  <c r="O200" i="1"/>
  <c r="P199" i="1"/>
  <c r="O199" i="1"/>
  <c r="P198" i="1"/>
  <c r="O198" i="1"/>
  <c r="P197" i="1"/>
  <c r="O197" i="1"/>
  <c r="P196" i="1"/>
  <c r="O196" i="1"/>
  <c r="P195" i="1"/>
  <c r="O195" i="1"/>
  <c r="P194" i="1"/>
  <c r="O194" i="1"/>
  <c r="P193" i="1"/>
  <c r="O193" i="1"/>
  <c r="P192" i="1"/>
  <c r="O192" i="1"/>
  <c r="P191" i="1"/>
  <c r="O191" i="1"/>
  <c r="P190" i="1"/>
  <c r="O190" i="1"/>
  <c r="P189" i="1"/>
  <c r="O189" i="1"/>
  <c r="P188" i="1"/>
  <c r="O188" i="1"/>
  <c r="P187" i="1"/>
  <c r="O187" i="1"/>
  <c r="P186" i="1"/>
  <c r="O186" i="1"/>
  <c r="P185" i="1"/>
  <c r="O185" i="1"/>
  <c r="P184" i="1"/>
  <c r="O184" i="1"/>
  <c r="P183" i="1"/>
  <c r="O183" i="1"/>
  <c r="P182" i="1"/>
  <c r="O182" i="1"/>
  <c r="P181" i="1"/>
  <c r="O181" i="1"/>
  <c r="P180" i="1"/>
  <c r="O180" i="1"/>
  <c r="P179" i="1"/>
  <c r="O179" i="1"/>
  <c r="P178" i="1"/>
  <c r="O178" i="1"/>
  <c r="P177" i="1"/>
  <c r="O177" i="1"/>
  <c r="P176" i="1"/>
  <c r="O176" i="1"/>
  <c r="P175" i="1"/>
  <c r="O175" i="1"/>
  <c r="P174" i="1"/>
  <c r="O174" i="1"/>
  <c r="P173" i="1"/>
  <c r="O173" i="1"/>
  <c r="P172" i="1"/>
  <c r="O172" i="1"/>
  <c r="P171" i="1"/>
  <c r="O171" i="1"/>
  <c r="P170" i="1"/>
  <c r="O170" i="1"/>
  <c r="P169" i="1"/>
  <c r="O169" i="1"/>
  <c r="P168" i="1"/>
  <c r="O168" i="1"/>
  <c r="P167" i="1"/>
  <c r="O167" i="1"/>
  <c r="P166" i="1"/>
  <c r="O166" i="1"/>
  <c r="P165" i="1"/>
  <c r="O165" i="1"/>
  <c r="P164" i="1"/>
  <c r="O164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P155" i="1"/>
  <c r="O155" i="1"/>
  <c r="P154" i="1"/>
  <c r="O154" i="1"/>
  <c r="P153" i="1"/>
  <c r="O153" i="1"/>
  <c r="P152" i="1"/>
  <c r="O152" i="1"/>
  <c r="P151" i="1"/>
  <c r="O151" i="1"/>
  <c r="P150" i="1"/>
  <c r="O150" i="1"/>
  <c r="P149" i="1"/>
  <c r="O149" i="1"/>
  <c r="P148" i="1"/>
  <c r="O148" i="1"/>
  <c r="P147" i="1"/>
  <c r="O147" i="1"/>
  <c r="P146" i="1"/>
  <c r="O146" i="1"/>
  <c r="P145" i="1"/>
  <c r="O145" i="1"/>
  <c r="P144" i="1"/>
  <c r="O144" i="1"/>
  <c r="P143" i="1"/>
  <c r="O143" i="1"/>
  <c r="P142" i="1"/>
  <c r="O142" i="1"/>
  <c r="P141" i="1"/>
  <c r="O141" i="1"/>
  <c r="P140" i="1"/>
  <c r="O140" i="1"/>
  <c r="P139" i="1"/>
  <c r="O139" i="1"/>
  <c r="P138" i="1"/>
  <c r="O138" i="1"/>
  <c r="P137" i="1"/>
  <c r="O137" i="1"/>
  <c r="P136" i="1"/>
  <c r="O136" i="1"/>
  <c r="P135" i="1"/>
  <c r="O135" i="1"/>
  <c r="P134" i="1"/>
  <c r="O134" i="1"/>
  <c r="P133" i="1"/>
  <c r="O133" i="1"/>
  <c r="P132" i="1"/>
  <c r="O132" i="1"/>
  <c r="P131" i="1"/>
  <c r="O131" i="1"/>
  <c r="P130" i="1"/>
  <c r="O130" i="1"/>
  <c r="P129" i="1"/>
  <c r="O129" i="1"/>
  <c r="P128" i="1"/>
  <c r="O128" i="1"/>
  <c r="P127" i="1"/>
  <c r="O127" i="1"/>
  <c r="P126" i="1"/>
  <c r="O126" i="1"/>
  <c r="P125" i="1"/>
  <c r="O125" i="1"/>
  <c r="P124" i="1"/>
  <c r="O124" i="1"/>
  <c r="P123" i="1"/>
  <c r="O123" i="1"/>
  <c r="P122" i="1"/>
  <c r="O122" i="1"/>
  <c r="P121" i="1"/>
  <c r="O121" i="1"/>
  <c r="P120" i="1"/>
  <c r="O120" i="1"/>
  <c r="P119" i="1"/>
  <c r="O119" i="1"/>
  <c r="P118" i="1"/>
  <c r="O118" i="1"/>
  <c r="P117" i="1"/>
  <c r="O117" i="1"/>
  <c r="P116" i="1"/>
  <c r="O116" i="1"/>
  <c r="P115" i="1"/>
  <c r="O115" i="1"/>
  <c r="P114" i="1"/>
  <c r="O114" i="1"/>
  <c r="P113" i="1"/>
  <c r="O113" i="1"/>
  <c r="P112" i="1"/>
  <c r="O112" i="1"/>
  <c r="P111" i="1"/>
  <c r="O111" i="1"/>
  <c r="P110" i="1"/>
  <c r="O110" i="1"/>
  <c r="P109" i="1"/>
  <c r="O109" i="1"/>
  <c r="P108" i="1"/>
  <c r="O108" i="1"/>
  <c r="P107" i="1"/>
  <c r="O107" i="1"/>
  <c r="P106" i="1"/>
  <c r="O106" i="1"/>
  <c r="P105" i="1"/>
  <c r="O105" i="1"/>
  <c r="P104" i="1"/>
  <c r="O104" i="1"/>
  <c r="P103" i="1"/>
  <c r="O103" i="1"/>
  <c r="P102" i="1"/>
  <c r="O102" i="1"/>
  <c r="P101" i="1"/>
  <c r="O101" i="1"/>
  <c r="P100" i="1"/>
  <c r="O100" i="1"/>
  <c r="P99" i="1"/>
  <c r="O99" i="1"/>
  <c r="P98" i="1"/>
  <c r="O98" i="1"/>
  <c r="P97" i="1"/>
  <c r="O97" i="1"/>
  <c r="P96" i="1"/>
  <c r="O96" i="1"/>
  <c r="P95" i="1"/>
  <c r="O95" i="1"/>
  <c r="P94" i="1"/>
  <c r="O94" i="1"/>
  <c r="P93" i="1"/>
  <c r="O93" i="1"/>
  <c r="P92" i="1"/>
  <c r="O92" i="1"/>
  <c r="P91" i="1"/>
  <c r="O91" i="1"/>
  <c r="P90" i="1"/>
  <c r="O90" i="1"/>
  <c r="P89" i="1"/>
  <c r="O89" i="1"/>
  <c r="P88" i="1"/>
  <c r="O88" i="1"/>
  <c r="P87" i="1"/>
  <c r="O87" i="1"/>
  <c r="P86" i="1"/>
  <c r="O86" i="1"/>
  <c r="P85" i="1"/>
  <c r="O85" i="1"/>
  <c r="P84" i="1"/>
  <c r="O84" i="1"/>
  <c r="P83" i="1"/>
  <c r="O83" i="1"/>
  <c r="P82" i="1"/>
  <c r="O82" i="1"/>
  <c r="P81" i="1"/>
  <c r="O81" i="1"/>
  <c r="P80" i="1"/>
  <c r="O80" i="1"/>
  <c r="P79" i="1"/>
  <c r="O79" i="1"/>
  <c r="P78" i="1"/>
  <c r="O78" i="1"/>
  <c r="P77" i="1"/>
  <c r="O77" i="1"/>
  <c r="P76" i="1"/>
  <c r="O76" i="1"/>
  <c r="P75" i="1"/>
  <c r="O75" i="1"/>
  <c r="P74" i="1"/>
  <c r="O74" i="1"/>
  <c r="P73" i="1"/>
  <c r="O73" i="1"/>
  <c r="P72" i="1"/>
  <c r="O72" i="1"/>
  <c r="P71" i="1"/>
  <c r="O71" i="1"/>
  <c r="P70" i="1"/>
  <c r="O70" i="1"/>
  <c r="P69" i="1"/>
  <c r="O69" i="1"/>
  <c r="P68" i="1"/>
  <c r="O68" i="1"/>
  <c r="P67" i="1"/>
  <c r="O67" i="1"/>
  <c r="P66" i="1"/>
  <c r="O66" i="1"/>
  <c r="P65" i="1"/>
  <c r="O65" i="1"/>
  <c r="P64" i="1"/>
  <c r="O64" i="1"/>
  <c r="P63" i="1"/>
  <c r="O63" i="1"/>
  <c r="P62" i="1"/>
  <c r="O62" i="1"/>
  <c r="P61" i="1"/>
  <c r="O61" i="1"/>
  <c r="P60" i="1"/>
  <c r="O60" i="1"/>
  <c r="P59" i="1"/>
  <c r="O59" i="1"/>
  <c r="P58" i="1"/>
  <c r="O58" i="1"/>
  <c r="P57" i="1"/>
  <c r="O57" i="1"/>
  <c r="P56" i="1"/>
  <c r="O56" i="1"/>
  <c r="P55" i="1"/>
  <c r="O55" i="1"/>
  <c r="P54" i="1"/>
  <c r="O54" i="1"/>
  <c r="P53" i="1"/>
  <c r="O53" i="1"/>
  <c r="P52" i="1"/>
  <c r="O52" i="1"/>
  <c r="P51" i="1"/>
  <c r="O51" i="1"/>
  <c r="P50" i="1"/>
  <c r="O50" i="1"/>
  <c r="P49" i="1"/>
  <c r="O49" i="1"/>
  <c r="P48" i="1"/>
  <c r="O48" i="1"/>
  <c r="P47" i="1"/>
  <c r="O47" i="1"/>
  <c r="P46" i="1"/>
  <c r="O46" i="1"/>
  <c r="P45" i="1"/>
  <c r="O45" i="1"/>
  <c r="P44" i="1"/>
  <c r="O44" i="1"/>
  <c r="P43" i="1"/>
  <c r="O43" i="1"/>
  <c r="P42" i="1"/>
  <c r="O42" i="1"/>
  <c r="P41" i="1"/>
  <c r="O41" i="1"/>
  <c r="P40" i="1"/>
  <c r="O40" i="1"/>
  <c r="P39" i="1"/>
  <c r="O39" i="1"/>
  <c r="P38" i="1"/>
  <c r="O38" i="1"/>
  <c r="P37" i="1"/>
  <c r="O37" i="1"/>
  <c r="P36" i="1"/>
  <c r="O36" i="1"/>
  <c r="P35" i="1"/>
  <c r="O35" i="1"/>
  <c r="P34" i="1"/>
  <c r="O34" i="1"/>
  <c r="P33" i="1"/>
  <c r="O33" i="1"/>
  <c r="P32" i="1"/>
  <c r="O32" i="1"/>
  <c r="P31" i="1"/>
  <c r="O31" i="1"/>
  <c r="P30" i="1"/>
  <c r="O30" i="1"/>
  <c r="P29" i="1"/>
  <c r="O29" i="1"/>
  <c r="P28" i="1"/>
  <c r="O28" i="1"/>
  <c r="P27" i="1"/>
  <c r="O27" i="1"/>
  <c r="P26" i="1"/>
  <c r="O26" i="1"/>
  <c r="P25" i="1"/>
  <c r="O25" i="1"/>
  <c r="P24" i="1"/>
  <c r="O24" i="1"/>
  <c r="P23" i="1"/>
  <c r="O23" i="1"/>
  <c r="P22" i="1"/>
  <c r="O22" i="1"/>
  <c r="P21" i="1"/>
  <c r="O21" i="1"/>
  <c r="P20" i="1"/>
  <c r="O20" i="1"/>
  <c r="P19" i="1"/>
  <c r="O19" i="1"/>
  <c r="P18" i="1"/>
  <c r="O18" i="1"/>
  <c r="P17" i="1"/>
  <c r="O17" i="1"/>
  <c r="P16" i="1"/>
  <c r="O16" i="1"/>
  <c r="P15" i="1"/>
  <c r="O15" i="1"/>
  <c r="P14" i="1"/>
  <c r="O14" i="1"/>
  <c r="P13" i="1"/>
  <c r="O13" i="1"/>
  <c r="P12" i="1"/>
  <c r="O12" i="1"/>
  <c r="P11" i="1"/>
  <c r="O11" i="1"/>
  <c r="P10" i="1"/>
  <c r="O10" i="1"/>
  <c r="P9" i="1"/>
  <c r="O9" i="1"/>
  <c r="P8" i="1"/>
  <c r="O8" i="1"/>
  <c r="P7" i="1"/>
  <c r="O7" i="1"/>
  <c r="P6" i="1"/>
  <c r="O6" i="1"/>
  <c r="P5" i="1"/>
  <c r="O5" i="1"/>
  <c r="B22" i="2" l="1"/>
  <c r="A35" i="2"/>
  <c r="B32" i="2"/>
  <c r="A27" i="2"/>
  <c r="A32" i="2"/>
  <c r="B29" i="2"/>
  <c r="B34" i="2"/>
  <c r="A29" i="2"/>
  <c r="B28" i="2"/>
  <c r="A33" i="2"/>
  <c r="A34" i="2"/>
  <c r="B31" i="2"/>
  <c r="A31" i="2"/>
  <c r="B36" i="2"/>
  <c r="A36" i="2"/>
  <c r="B33" i="2"/>
  <c r="A28" i="2"/>
  <c r="B35" i="2"/>
  <c r="A30" i="2"/>
  <c r="B27" i="2"/>
  <c r="B30" i="2"/>
</calcChain>
</file>

<file path=xl/sharedStrings.xml><?xml version="1.0" encoding="utf-8"?>
<sst xmlns="http://schemas.openxmlformats.org/spreadsheetml/2006/main" count="204" uniqueCount="131">
  <si>
    <t>SAT Mistake Log  (Digital SAT / Bluebook)</t>
  </si>
  <si>
    <t>Date</t>
  </si>
  <si>
    <t>Section ▼</t>
  </si>
  <si>
    <t>Topic / Question Type ▼</t>
  </si>
  <si>
    <t>Bluebook Test ▼</t>
  </si>
  <si>
    <t>Module ▼</t>
  </si>
  <si>
    <t>Q #</t>
  </si>
  <si>
    <t>Mistake Type ▼</t>
  </si>
  <si>
    <t>What Was the Mistake?</t>
  </si>
  <si>
    <t>Why It Happened (Root Cause)</t>
  </si>
  <si>
    <t>How to Avoid Next Time</t>
  </si>
  <si>
    <t>Priority ▼</t>
  </si>
  <si>
    <t>Status ▼</t>
  </si>
  <si>
    <t>Question Screenshot</t>
  </si>
  <si>
    <t>1/15/2026</t>
  </si>
  <si>
    <t>Math</t>
  </si>
  <si>
    <t>Systems of Linear Equations</t>
  </si>
  <si>
    <t>Test 4</t>
  </si>
  <si>
    <t>Module 2</t>
  </si>
  <si>
    <t>Used wrong strategy</t>
  </si>
  <si>
    <t>Set up one equation backwards, solved for wrong variable</t>
  </si>
  <si>
    <t>Rushed translating the word problem into equations without re-reading</t>
  </si>
  <si>
    <t>Underline what the question actually asks before solving</t>
  </si>
  <si>
    <t>High</t>
  </si>
  <si>
    <t>Reviewing</t>
  </si>
  <si>
    <t>Mistake Log Dashboard</t>
  </si>
  <si>
    <t>Mistakes by Section</t>
  </si>
  <si>
    <t>Mistakes by Type</t>
  </si>
  <si>
    <t>Section</t>
  </si>
  <si>
    <t>Count</t>
  </si>
  <si>
    <t>Mistake Type</t>
  </si>
  <si>
    <t>Reading &amp; Writing</t>
  </si>
  <si>
    <t>Careless / silly error</t>
  </si>
  <si>
    <t>Misread the question</t>
  </si>
  <si>
    <t>Didn't know the concept</t>
  </si>
  <si>
    <t>Ran out of time</t>
  </si>
  <si>
    <t>Calculation error</t>
  </si>
  <si>
    <t>Second-guessed correct answer</t>
  </si>
  <si>
    <t>Vocabulary / wording confusion</t>
  </si>
  <si>
    <t>Other</t>
  </si>
  <si>
    <t>Status Overview</t>
  </si>
  <si>
    <t>Priority Breakdown</t>
  </si>
  <si>
    <t>Status</t>
  </si>
  <si>
    <t>Priority</t>
  </si>
  <si>
    <t>Not Reviewed</t>
  </si>
  <si>
    <t>Medium</t>
  </si>
  <si>
    <t>Mastered</t>
  </si>
  <si>
    <t>Low</t>
  </si>
  <si>
    <t>Total Mistakes Logged</t>
  </si>
  <si>
    <t>Your Top Repeat Offenders  (study these first)</t>
  </si>
  <si>
    <t>Mistakes by Bluebook Test</t>
  </si>
  <si>
    <t>Topic</t>
  </si>
  <si>
    <t>Times Missed</t>
  </si>
  <si>
    <t>Test</t>
  </si>
  <si>
    <t>Test 5</t>
  </si>
  <si>
    <t>Test 6</t>
  </si>
  <si>
    <t>Test 7</t>
  </si>
  <si>
    <t>Test 8</t>
  </si>
  <si>
    <t>Test 9</t>
  </si>
  <si>
    <t>Test 10</t>
  </si>
  <si>
    <t>Test 11</t>
  </si>
  <si>
    <t>Other / not Bluebook</t>
  </si>
  <si>
    <t>Blank rows just mean you have not logged that many different topics yet.</t>
  </si>
  <si>
    <t>Each bar = how many logged mistakes fall into that group. Taller bar = weaker area. Height is a count, not a score.</t>
  </si>
  <si>
    <t>How to Use This SAT Mistake Log  (Digital SAT / Bluebook)</t>
  </si>
  <si>
    <t>1. Log every mistake right after you review a test — details fade fast.</t>
  </si>
  <si>
    <t>2. Filling in a row (almost everything is a dropdown):</t>
  </si>
  <si>
    <t xml:space="preserve">    • A heading ending in ▼ means you pick from a list instead of typing.</t>
  </si>
  <si>
    <t xml:space="preserve">    • The buttons on every heading are FILTER buttons — a different thing.</t>
  </si>
  <si>
    <t xml:space="preserve">    • Section — PICK FIRST. It decides which topics the Topic dropdown offers.</t>
  </si>
  <si>
    <t xml:space="preserve">    • Bluebook Test — Tests 4 to 11, the ones Bluebook ships.</t>
  </si>
  <si>
    <t xml:space="preserve">    • Module — Module 1 or 2. Question numbers restart in Module 2, so without</t>
  </si>
  <si>
    <t xml:space="preserve">    • Priority / Status — colour themselves red, yellow, green.</t>
  </si>
  <si>
    <t>4. Finding what to study:</t>
  </si>
  <si>
    <t xml:space="preserve">      Work down that list. It updates itself.</t>
  </si>
  <si>
    <t xml:space="preserve">    • Filter for Priority = High and Status = Not Reviewed before your next test.</t>
  </si>
  <si>
    <t>5. To change dropdown options: right-click a tab, Unhide, edit the Lists tab.</t>
  </si>
  <si>
    <t>This sheet has 300 rows ready (rows 5-304).</t>
  </si>
  <si>
    <t>Bluebook Test</t>
  </si>
  <si>
    <t>Module</t>
  </si>
  <si>
    <t>All topics</t>
  </si>
  <si>
    <t>Times missed</t>
  </si>
  <si>
    <t>Rank key (unique)</t>
  </si>
  <si>
    <t>Words in Context</t>
  </si>
  <si>
    <t>Linear Equations (One Variable)</t>
  </si>
  <si>
    <t>Module 1</t>
  </si>
  <si>
    <t>Text Structure &amp; Purpose</t>
  </si>
  <si>
    <t>Linear Equations (Two Variables)</t>
  </si>
  <si>
    <t>Cross-Text Connections</t>
  </si>
  <si>
    <t>Linear Functions</t>
  </si>
  <si>
    <t>Central Ideas &amp; Details</t>
  </si>
  <si>
    <t>Command of Evidence (Textual)</t>
  </si>
  <si>
    <t>Linear Inequalities</t>
  </si>
  <si>
    <t>Command of Evidence (Quantitative)</t>
  </si>
  <si>
    <t>Equivalent Expressions</t>
  </si>
  <si>
    <t>Inferences</t>
  </si>
  <si>
    <t>Nonlinear Equations</t>
  </si>
  <si>
    <t>Rhetorical Synthesis</t>
  </si>
  <si>
    <t>Nonlinear Functions</t>
  </si>
  <si>
    <t>Transitions</t>
  </si>
  <si>
    <t>Ratios, Rates &amp; Proportions</t>
  </si>
  <si>
    <t>Boundaries (Punctuation)</t>
  </si>
  <si>
    <t>Percentages</t>
  </si>
  <si>
    <t>Form, Structure &amp; Sense</t>
  </si>
  <si>
    <t>One-Variable Data &amp; Distributions</t>
  </si>
  <si>
    <t>Two-Variable Data &amp; Scatterplots</t>
  </si>
  <si>
    <t>Probability</t>
  </si>
  <si>
    <t>Inference from Sample Statistics</t>
  </si>
  <si>
    <t>Evaluating Statistical Claims</t>
  </si>
  <si>
    <t>Area &amp; Volume</t>
  </si>
  <si>
    <t>Lines, Angles &amp; Triangles</t>
  </si>
  <si>
    <t>Right Triangles &amp; Trigonometry</t>
  </si>
  <si>
    <t>Circles</t>
  </si>
  <si>
    <t>Click a Question Screenshot cell -&gt; a button appears in it. Add Photo to upload, Zoom In (or double-click) to enlarge.</t>
  </si>
  <si>
    <t>C:\Users\hp\Pictures\SAT Question Screenshots\example_question.png</t>
  </si>
  <si>
    <t>FIRST TIME ONLY: if a yellow bar says macros are blocked, click ENABLE CONTENT.</t>
  </si>
  <si>
    <t>The photo button and zoom need it. You only do this once.</t>
  </si>
  <si>
    <t xml:space="preserve">      this a question number is ambiguous and you will not find it again.</t>
  </si>
  <si>
    <t xml:space="preserve">    • Q # — type ONLY the number, e.g. 12. Excel shows it as Q12 by itself.</t>
  </si>
  <si>
    <t>3. PICTURES OF QUESTIONS — a button appears inside the cell:</t>
  </si>
  <si>
    <t xml:space="preserve">    • Click any cell in the Question Screenshot column.</t>
  </si>
  <si>
    <t xml:space="preserve">      A blue button appears in the middle of that cell.</t>
  </si>
  <si>
    <t xml:space="preserve">    • Empty row  -&gt; the button says ADD PHOTO. Click it, pick your image file,</t>
  </si>
  <si>
    <t xml:space="preserve">      and it drops into the cell, shrunk to fit inside the borders.</t>
  </si>
  <si>
    <t xml:space="preserve">    • Row with a photo -&gt; the button says ZOOM IN. Click it (or double-click the</t>
  </si>
  <si>
    <t xml:space="preserve">      cell) and the picture opens large in the middle of the screen.</t>
  </si>
  <si>
    <t xml:space="preserve">      Click the big picture once to close it.</t>
  </si>
  <si>
    <t xml:space="preserve">    • Ctrl+V ALSO WORKS: paste a screenshot anywhere on the row it belongs to,</t>
  </si>
  <si>
    <t xml:space="preserve">      then click any cell. It fits itself into that row automatically.</t>
  </si>
  <si>
    <t xml:space="preserve">    • Every picture is also kept in Pictures\SAT Question Screenshots.</t>
  </si>
  <si>
    <t xml:space="preserve">    • Dashboard &gt; "Your Top Repeat Offenders" ranks the topics you miss most.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</si>
</sst>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&quot;Q&quot;0"/>
  </numFmts>
  <fonts count="19" x14ac:knownFonts="1">
    <font>
      <sz val="11"/>
      <color theme="1"/>
      <name val="Calibri"/>
      <family val="2"/>
      <charset val="1"/>
    </font>
    <font>
      <sz val="10"/>
      <name val="Calibri"/>
      <charset val="1"/>
    </font>
    <font>
      <sz val="11"/>
      <name val="Calibri"/>
      <charset val="1"/>
    </font>
    <font>
      <b/>
      <sz val="11"/>
      <name val="Calibri"/>
    </font>
    <font>
      <b/>
      <sz val="18"/>
      <color rgb="FFFFFFFF"/>
      <name val="Calibri"/>
    </font>
    <font>
      <sz val="10"/>
      <color rgb="FF1F2937"/>
      <name val="Calibri"/>
    </font>
    <font>
      <b/>
      <sz val="11"/>
      <color rgb="FFFFFFFF"/>
      <name val="Calibri"/>
    </font>
    <font>
      <sz val="10"/>
      <name val="Calibri"/>
    </font>
    <font>
      <b/>
      <sz val="18"/>
      <color rgb="FF1F2937"/>
      <name val="Calibri"/>
    </font>
    <font>
      <b/>
      <sz val="12"/>
      <color rgb="FF2563EB"/>
      <name val="Calibri"/>
    </font>
    <font>
      <b/>
      <sz val="11"/>
      <color rgb="FFFFFFFF"/>
      <name val="Calibri"/>
    </font>
    <font>
      <b/>
      <sz val="12"/>
      <name val="Calibri"/>
    </font>
    <font>
      <b/>
      <sz val="13"/>
      <color rgb="FF2563EB"/>
      <name val="Calibri"/>
    </font>
    <font>
      <i/>
      <sz val="9"/>
      <color rgb="FF1F2937"/>
      <name val="Calibri"/>
    </font>
    <font>
      <i/>
      <sz val="10"/>
      <color rgb="FF1F2937"/>
      <name val="Calibri"/>
    </font>
    <font>
      <b/>
      <sz val="14"/>
      <color rgb="FF1F2937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2937"/>
        <bgColor rgb="FF333300"/>
      </patternFill>
    </fill>
    <fill>
      <patternFill patternType="solid">
        <fgColor rgb="FFF3F4F6"/>
        <bgColor rgb="FFF9F9F9"/>
      </patternFill>
    </fill>
    <fill>
      <patternFill patternType="solid">
        <fgColor rgb="FF1F2937"/>
      </patternFill>
    </fill>
    <fill>
      <patternFill patternType="solid">
        <fgColor rgb="FF2563EB"/>
      </patternFill>
    </fill>
  </fills>
  <borders count="2">
    <border>
      <left/>
      <right/>
      <top/>
      <bottom/>
      <diagonal/>
    </border>
    <border>
      <left style="thin">
        <color rgb="FFD1D5DB"/>
      </left>
      <right style="thin">
        <color rgb="FFD1D5DB"/>
      </right>
      <top style="thin">
        <color rgb="FFD1D5DB"/>
      </top>
      <bottom style="thin">
        <color rgb="FFD1D5DB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1" fillId="0" borderId="0" xfId="0" applyFont="1"/>
    <xf numFmtId="0" fontId="6" fillId="5" borderId="1" xfId="0" applyFont="1" applyFill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 wrapText="1"/>
    </xf>
    <xf numFmtId="0" fontId="7" fillId="3" borderId="1" xfId="0" applyFont="1" applyFill="1" applyBorder="1" applyAlignment="1">
      <alignment horizontal="center" vertical="center"/>
    </xf>
    <xf numFmtId="165" fontId="7" fillId="3" borderId="1" xfId="0" applyNumberFormat="1" applyFont="1" applyFill="1" applyBorder="1" applyAlignment="1">
      <alignment horizontal="center" vertical="center"/>
    </xf>
    <xf numFmtId="0" fontId="8" fillId="2" borderId="0" xfId="0" applyFont="1" applyFill="1" applyAlignment="1">
      <alignment horizontal="left" vertical="center" indent="1"/>
    </xf>
    <xf numFmtId="0" fontId="9" fillId="0" borderId="0" xfId="0" applyFont="1"/>
    <xf numFmtId="0" fontId="10" fillId="5" borderId="0" xfId="0" applyFont="1" applyFill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3" fillId="0" borderId="0" xfId="0" applyFont="1"/>
    <xf numFmtId="0" fontId="5" fillId="0" borderId="0" xfId="0" applyFont="1" applyAlignment="1">
      <alignment horizontal="left" vertical="center"/>
    </xf>
    <xf numFmtId="0" fontId="0" fillId="0" borderId="0" xfId="0"/>
    <xf numFmtId="0" fontId="4" fillId="4" borderId="0" xfId="0" applyFont="1" applyFill="1" applyAlignment="1">
      <alignment horizontal="left" vertical="center"/>
    </xf>
    <xf numFmtId="0" fontId="15" fillId="2" borderId="0" xfId="0" applyFont="1" applyFill="1" applyAlignment="1">
      <alignment vertical="center" indent="1"/>
    </xf>
    <xf numFmtId="0" fontId="16" fillId="0" borderId="0" xfId="0" applyFont="1" applyAlignment="1">
      <alignment vertical="top" wrapText="1"/>
    </xf>
    <xf numFmtId="0" fontId="17" fillId="0" borderId="0" xfId="0" applyFont="1" applyAlignment="1">
      <alignment vertical="top" wrapText="1"/>
    </xf>
    <xf numFmtId="0" fontId="16" fillId="0" borderId="0" xfId="0" applyFont="1"/>
    <xf numFmtId="0" fontId="18" fillId="0" borderId="0" xfId="0" applyFont="1"/>
  </cellXfs>
  <cellStyles count="1">
    <cellStyle name="Normal" xfId="0" builtinId="0"/>
  </cellStyles>
  <dxfs count="6">
    <dxf>
      <font>
        <b/>
        <color rgb="FF166534"/>
      </font>
      <fill>
        <patternFill>
          <bgColor rgb="FFDCFCE7"/>
        </patternFill>
      </fill>
    </dxf>
    <dxf>
      <font>
        <b/>
        <color rgb="FF854D0E"/>
      </font>
      <fill>
        <patternFill>
          <bgColor rgb="FFFEF9C3"/>
        </patternFill>
      </fill>
    </dxf>
    <dxf>
      <font>
        <b/>
        <color rgb="FF991B1B"/>
      </font>
      <fill>
        <patternFill>
          <bgColor rgb="FFFEE2E2"/>
        </patternFill>
      </fill>
    </dxf>
    <dxf>
      <font>
        <b/>
        <color rgb="FF166534"/>
      </font>
      <fill>
        <patternFill>
          <bgColor rgb="FFDCFCE7"/>
        </patternFill>
      </fill>
    </dxf>
    <dxf>
      <font>
        <b/>
        <color rgb="FF854D0E"/>
      </font>
      <fill>
        <patternFill>
          <bgColor rgb="FFFEF9C3"/>
        </patternFill>
      </fill>
    </dxf>
    <dxf>
      <font>
        <b/>
        <color rgb="FF991B1B"/>
      </font>
      <fill>
        <patternFill>
          <bgColor rgb="FFFEE2E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78787"/>
      <rgbColor rgb="FF9999FF"/>
      <rgbColor rgb="FF993366"/>
      <rgbColor rgb="FFFEF9C3"/>
      <rgbColor rgb="FFDCFCE7"/>
      <rgbColor rgb="FF660066"/>
      <rgbColor rgb="FFFF8080"/>
      <rgbColor rgb="FF0066CC"/>
      <rgbColor rgb="FFD1D5DB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3F4F6"/>
      <rgbColor rgb="FFF9F9F9"/>
      <rgbColor rgb="FFFFFF99"/>
      <rgbColor rgb="FF99CCFF"/>
      <rgbColor rgb="FFFF99CC"/>
      <rgbColor rgb="FFCC99FF"/>
      <rgbColor rgb="FFFEE2E2"/>
      <rgbColor rgb="FF2563EB"/>
      <rgbColor rgb="FF33CCCC"/>
      <rgbColor rgb="FF99CC00"/>
      <rgbColor rgb="FFFFCC00"/>
      <rgbColor rgb="FFFF9900"/>
      <rgbColor rgb="FFFF6600"/>
      <rgbColor rgb="FF4F81BD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1F2937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Which topics you miss most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Dashboard!$B$26</c:f>
              <c:strCache>
                <c:ptCount val="1"/>
                <c:pt idx="0">
                  <c:v>Times Missed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Dashboard!$A$27:$A$36</c:f>
              <c:strCache>
                <c:ptCount val="1"/>
                <c:pt idx="0">
                  <c:v>Systems of Linear Equations</c:v>
                </c:pt>
              </c:strCache>
            </c:strRef>
          </c:cat>
          <c:val>
            <c:numRef>
              <c:f>Dashboard!$B$27:$B$36</c:f>
              <c:numCache>
                <c:formatCode>General</c:formatCode>
                <c:ptCount val="1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01-492C-8D7C-DDCA13B531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Topic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How many mistakes in each section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Dashboard!$B$4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Dashboard!$A$5:$A$6</c:f>
              <c:strCache>
                <c:ptCount val="2"/>
                <c:pt idx="0">
                  <c:v>Reading &amp; Writing</c:v>
                </c:pt>
                <c:pt idx="1">
                  <c:v>Math</c:v>
                </c:pt>
              </c:strCache>
            </c:strRef>
          </c:cat>
          <c:val>
            <c:numRef>
              <c:f>Dashboard!$B$5:$B$6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5C-4A1F-9C51-6160F29DC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Section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What kind of errors you make most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Dashboard!$D$5:$D$13</c:f>
              <c:strCache>
                <c:ptCount val="9"/>
                <c:pt idx="0">
                  <c:v>Careless / silly error</c:v>
                </c:pt>
                <c:pt idx="1">
                  <c:v>Misread the question</c:v>
                </c:pt>
                <c:pt idx="2">
                  <c:v>Didn't know the concept</c:v>
                </c:pt>
                <c:pt idx="3">
                  <c:v>Ran out of time</c:v>
                </c:pt>
                <c:pt idx="4">
                  <c:v>Used wrong strategy</c:v>
                </c:pt>
                <c:pt idx="5">
                  <c:v>Calculation error</c:v>
                </c:pt>
                <c:pt idx="6">
                  <c:v>Second-guessed correct answer</c:v>
                </c:pt>
                <c:pt idx="7">
                  <c:v>Vocabulary / wording confusion</c:v>
                </c:pt>
                <c:pt idx="8">
                  <c:v>Other</c:v>
                </c:pt>
              </c:strCache>
            </c:strRef>
          </c:cat>
          <c:val>
            <c:numRef>
              <c:f>Dashboard!$E$5:$E$13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28-4889-8D20-46F091360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Type of mistake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Mistakes per Bluebook test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Dashboard!$E$26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Dashboard!$D$27:$D$35</c:f>
              <c:strCache>
                <c:ptCount val="9"/>
                <c:pt idx="0">
                  <c:v>Test 4</c:v>
                </c:pt>
                <c:pt idx="1">
                  <c:v>Test 5</c:v>
                </c:pt>
                <c:pt idx="2">
                  <c:v>Test 6</c:v>
                </c:pt>
                <c:pt idx="3">
                  <c:v>Test 7</c:v>
                </c:pt>
                <c:pt idx="4">
                  <c:v>Test 8</c:v>
                </c:pt>
                <c:pt idx="5">
                  <c:v>Test 9</c:v>
                </c:pt>
                <c:pt idx="6">
                  <c:v>Test 10</c:v>
                </c:pt>
                <c:pt idx="7">
                  <c:v>Test 11</c:v>
                </c:pt>
                <c:pt idx="8">
                  <c:v>Other / not Bluebook</c:v>
                </c:pt>
              </c:strCache>
            </c:strRef>
          </c:cat>
          <c:val>
            <c:numRef>
              <c:f>Dashboard!$E$27:$E$35</c:f>
              <c:numCache>
                <c:formatCode>General</c:formatCode>
                <c:ptCount val="9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2F-48A7-99CA-CB3CC350B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Bluebook test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How much you have reviewed so far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Dashboard!$B$17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Dashboard!$A$18:$A$20</c:f>
              <c:strCache>
                <c:ptCount val="3"/>
                <c:pt idx="0">
                  <c:v>Not Reviewed</c:v>
                </c:pt>
                <c:pt idx="1">
                  <c:v>Reviewing</c:v>
                </c:pt>
                <c:pt idx="2">
                  <c:v>Mastered</c:v>
                </c:pt>
              </c:strCache>
            </c:strRef>
          </c:cat>
          <c:val>
            <c:numRef>
              <c:f>Dashboard!$B$18:$B$20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2D-42D2-952A-F66BB627B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Review status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t>How urgent your mistakes are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Dashboard!$E$17</c:f>
              <c:strCache>
                <c:ptCount val="1"/>
                <c:pt idx="0">
                  <c:v>Count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Dashboard!$D$18:$D$20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Dashboard!$E$18:$E$20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59-4AB1-889C-9FEE390B9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Priority level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Number of mistakes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546100</xdr:colOff>
      <xdr:row>10</xdr:row>
      <xdr:rowOff>119380</xdr:rowOff>
    </xdr:from>
    <xdr:to>
      <xdr:col>12</xdr:col>
      <xdr:colOff>1511300</xdr:colOff>
      <xdr:row>10</xdr:row>
      <xdr:rowOff>360680</xdr:rowOff>
    </xdr:to>
    <xdr:sp macro="PhotoButtonClick" textlink="">
      <xdr:nvSpPr>
        <xdr:cNvPr id="2" name="PhotoBtn" hidden="1">
          <a:extLst>
            <a:ext uri="{FF2B5EF4-FFF2-40B4-BE49-F238E27FC236}">
              <a16:creationId xmlns:a16="http://schemas.microsoft.com/office/drawing/2014/main" id="{96FDE8D1-C390-F562-2F0B-A990B32E1803}"/>
            </a:ext>
          </a:extLst>
        </xdr:cNvPr>
        <xdr:cNvSpPr/>
      </xdr:nvSpPr>
      <xdr:spPr>
        <a:xfrm>
          <a:off x="17279620" y="4226560"/>
          <a:ext cx="965200" cy="241300"/>
        </a:xfrm>
        <a:prstGeom prst="roundRect">
          <a:avLst/>
        </a:prstGeom>
        <a:solidFill>
          <a:srgbClr val="9A95ED"/>
        </a:solidFill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900" b="1">
              <a:solidFill>
                <a:srgbClr val="FFFFFF"/>
              </a:solidFill>
              <a:latin typeface="Calibri" panose="020F0502020204030204" pitchFamily="34" charset="0"/>
            </a:rPr>
            <a:t>Zoom 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2</xdr:row>
      <xdr:rowOff>0</xdr:rowOff>
    </xdr:from>
    <xdr:ext cx="612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6</xdr:col>
      <xdr:colOff>0</xdr:colOff>
      <xdr:row>20</xdr:row>
      <xdr:rowOff>0</xdr:rowOff>
    </xdr:from>
    <xdr:ext cx="468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6</xdr:col>
      <xdr:colOff>0</xdr:colOff>
      <xdr:row>36</xdr:row>
      <xdr:rowOff>0</xdr:rowOff>
    </xdr:from>
    <xdr:ext cx="468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6</xdr:col>
      <xdr:colOff>0</xdr:colOff>
      <xdr:row>52</xdr:row>
      <xdr:rowOff>0</xdr:rowOff>
    </xdr:from>
    <xdr:ext cx="4680000" cy="27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6</xdr:col>
      <xdr:colOff>0</xdr:colOff>
      <xdr:row>68</xdr:row>
      <xdr:rowOff>0</xdr:rowOff>
    </xdr:from>
    <xdr:ext cx="4680000" cy="27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xdr:oneCellAnchor>
    <xdr:from>
      <xdr:col>6</xdr:col>
      <xdr:colOff>0</xdr:colOff>
      <xdr:row>84</xdr:row>
      <xdr:rowOff>0</xdr:rowOff>
    </xdr:from>
    <xdr:ext cx="4680000" cy="2700000"/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04"/>
  <sheetViews>
    <sheetView showGridLines="0" tabSelected="1" zoomScaleNormal="100" workbookViewId="0">
      <pane ySplit="4" topLeftCell="A5" activePane="bottomLeft" state="frozen"/>
      <selection pane="bottomLeft" activeCell="A5" sqref="A5"/>
    </sheetView>
  </sheetViews>
  <sheetFormatPr defaultColWidth="8.6640625" defaultRowHeight="14.4" x14ac:dyDescent="0.3"/>
  <cols>
    <col min="1" max="1" width="12" customWidth="1"/>
    <col min="2" max="2" width="20" customWidth="1"/>
    <col min="3" max="3" width="30" customWidth="1"/>
    <col min="4" max="4" width="16" customWidth="1"/>
    <col min="5" max="5" width="12" customWidth="1"/>
    <col min="6" max="6" width="8" customWidth="1"/>
    <col min="7" max="7" width="24" customWidth="1"/>
    <col min="8" max="10" width="32" customWidth="1"/>
    <col min="11" max="11" width="12" customWidth="1"/>
    <col min="12" max="12" width="14" customWidth="1"/>
    <col min="13" max="13" width="30" customWidth="1"/>
    <col min="15" max="16" width="13" hidden="1" customWidth="1"/>
    <col min="17" max="17" width="0" hidden="1" customWidth="1"/>
  </cols>
  <sheetData>
    <row r="1" spans="1:17" ht="31.5" customHeight="1" x14ac:dyDescent="0.3">
      <c r="A1" s="22" t="s">
        <v>0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</row>
    <row r="2" spans="1:17" ht="19.5" customHeight="1" x14ac:dyDescent="0.3">
      <c r="A2" s="20" t="s">
        <v>113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</row>
    <row r="4" spans="1:17" ht="31.95" customHeight="1" x14ac:dyDescent="0.3">
      <c r="A4" s="3" t="s">
        <v>1</v>
      </c>
      <c r="B4" s="3" t="s">
        <v>2</v>
      </c>
      <c r="C4" s="3" t="s">
        <v>3</v>
      </c>
      <c r="D4" s="3" t="s">
        <v>4</v>
      </c>
      <c r="E4" s="3" t="s">
        <v>5</v>
      </c>
      <c r="F4" s="3" t="s">
        <v>6</v>
      </c>
      <c r="G4" s="3" t="s">
        <v>7</v>
      </c>
      <c r="H4" s="3" t="s">
        <v>8</v>
      </c>
      <c r="I4" s="3" t="s">
        <v>9</v>
      </c>
      <c r="J4" s="3" t="s">
        <v>10</v>
      </c>
      <c r="K4" s="3" t="s">
        <v>11</v>
      </c>
      <c r="L4" s="3" t="s">
        <v>12</v>
      </c>
      <c r="M4" s="3" t="s">
        <v>13</v>
      </c>
    </row>
    <row r="5" spans="1:17" ht="37.950000000000003" customHeight="1" x14ac:dyDescent="0.3">
      <c r="A5" s="4" t="s">
        <v>14</v>
      </c>
      <c r="B5" s="5" t="s">
        <v>15</v>
      </c>
      <c r="C5" s="5" t="s">
        <v>16</v>
      </c>
      <c r="D5" s="6" t="s">
        <v>17</v>
      </c>
      <c r="E5" s="6" t="s">
        <v>18</v>
      </c>
      <c r="F5" s="7">
        <v>12</v>
      </c>
      <c r="G5" s="6" t="s">
        <v>19</v>
      </c>
      <c r="H5" s="5" t="s">
        <v>20</v>
      </c>
      <c r="I5" s="5" t="s">
        <v>21</v>
      </c>
      <c r="J5" s="5" t="s">
        <v>22</v>
      </c>
      <c r="K5" s="6" t="s">
        <v>23</v>
      </c>
      <c r="L5" s="6" t="s">
        <v>24</v>
      </c>
      <c r="M5" s="6"/>
      <c r="O5" t="str">
        <f t="shared" ref="O5:O68" si="0">IF($B5="Reading &amp; Writing","secRW",IF($B5="Math","secMath",""))</f>
        <v>secMath</v>
      </c>
      <c r="P5">
        <f t="shared" ref="P5:P68" si="1">IF(COUNTA(A5:M5)&gt;0,1,0)</f>
        <v>1</v>
      </c>
      <c r="Q5" t="s">
        <v>114</v>
      </c>
    </row>
    <row r="6" spans="1:17" ht="37.950000000000003" customHeight="1" x14ac:dyDescent="0.3">
      <c r="A6" s="8"/>
      <c r="B6" s="9"/>
      <c r="C6" s="9"/>
      <c r="D6" s="10"/>
      <c r="E6" s="10"/>
      <c r="F6" s="11"/>
      <c r="G6" s="10"/>
      <c r="H6" s="9"/>
      <c r="I6" s="9"/>
      <c r="J6" s="9"/>
      <c r="K6" s="6"/>
      <c r="L6" s="6"/>
      <c r="M6" s="6"/>
      <c r="O6" t="str">
        <f t="shared" si="0"/>
        <v/>
      </c>
      <c r="P6">
        <f t="shared" si="1"/>
        <v>0</v>
      </c>
    </row>
    <row r="7" spans="1:17" ht="37.950000000000003" customHeight="1" x14ac:dyDescent="0.3">
      <c r="A7" s="4"/>
      <c r="B7" s="5"/>
      <c r="C7" s="5"/>
      <c r="D7" s="6"/>
      <c r="E7" s="6"/>
      <c r="F7" s="7"/>
      <c r="G7" s="6"/>
      <c r="H7" s="5"/>
      <c r="I7" s="5"/>
      <c r="J7" s="5"/>
      <c r="K7" s="6"/>
      <c r="L7" s="6"/>
      <c r="M7" s="6"/>
      <c r="O7" t="str">
        <f t="shared" si="0"/>
        <v/>
      </c>
      <c r="P7">
        <f t="shared" si="1"/>
        <v>0</v>
      </c>
    </row>
    <row r="8" spans="1:17" ht="37.950000000000003" customHeight="1" x14ac:dyDescent="0.3">
      <c r="A8" s="8"/>
      <c r="B8" s="9"/>
      <c r="C8" s="9"/>
      <c r="D8" s="10"/>
      <c r="E8" s="10"/>
      <c r="F8" s="11"/>
      <c r="G8" s="10"/>
      <c r="H8" s="9"/>
      <c r="I8" s="9"/>
      <c r="J8" s="9"/>
      <c r="K8" s="6"/>
      <c r="L8" s="6"/>
      <c r="M8" s="6"/>
      <c r="O8" t="str">
        <f t="shared" si="0"/>
        <v/>
      </c>
      <c r="P8">
        <f t="shared" si="1"/>
        <v>0</v>
      </c>
    </row>
    <row r="9" spans="1:17" ht="37.950000000000003" customHeight="1" x14ac:dyDescent="0.3">
      <c r="A9" s="4"/>
      <c r="B9" s="5"/>
      <c r="C9" s="5"/>
      <c r="D9" s="6"/>
      <c r="E9" s="6"/>
      <c r="F9" s="7"/>
      <c r="G9" s="6"/>
      <c r="H9" s="5"/>
      <c r="I9" s="5"/>
      <c r="J9" s="5"/>
      <c r="K9" s="6"/>
      <c r="L9" s="6"/>
      <c r="M9" s="6"/>
      <c r="O9" t="str">
        <f t="shared" si="0"/>
        <v/>
      </c>
      <c r="P9">
        <f t="shared" si="1"/>
        <v>0</v>
      </c>
    </row>
    <row r="10" spans="1:17" ht="37.950000000000003" customHeight="1" x14ac:dyDescent="0.3">
      <c r="A10" s="8"/>
      <c r="B10" s="9"/>
      <c r="C10" s="9"/>
      <c r="D10" s="10"/>
      <c r="E10" s="10"/>
      <c r="F10" s="11"/>
      <c r="G10" s="10"/>
      <c r="H10" s="9"/>
      <c r="I10" s="9"/>
      <c r="J10" s="9"/>
      <c r="K10" s="6"/>
      <c r="L10" s="6"/>
      <c r="M10" s="6"/>
      <c r="O10" t="str">
        <f t="shared" si="0"/>
        <v/>
      </c>
      <c r="P10">
        <f t="shared" si="1"/>
        <v>0</v>
      </c>
    </row>
    <row r="11" spans="1:17" ht="37.950000000000003" customHeight="1" x14ac:dyDescent="0.3">
      <c r="A11" s="4"/>
      <c r="B11" s="5"/>
      <c r="C11" s="5"/>
      <c r="D11" s="6"/>
      <c r="E11" s="6"/>
      <c r="F11" s="7"/>
      <c r="G11" s="6"/>
      <c r="H11" s="5"/>
      <c r="I11" s="5"/>
      <c r="J11" s="5"/>
      <c r="K11" s="6"/>
      <c r="L11" s="6"/>
      <c r="M11" s="6"/>
      <c r="O11" t="str">
        <f t="shared" si="0"/>
        <v/>
      </c>
      <c r="P11">
        <f t="shared" si="1"/>
        <v>0</v>
      </c>
    </row>
    <row r="12" spans="1:17" ht="37.950000000000003" customHeight="1" x14ac:dyDescent="0.3">
      <c r="A12" s="8"/>
      <c r="B12" s="9"/>
      <c r="C12" s="9"/>
      <c r="D12" s="10"/>
      <c r="E12" s="10"/>
      <c r="F12" s="11"/>
      <c r="G12" s="10"/>
      <c r="H12" s="9"/>
      <c r="I12" s="9"/>
      <c r="J12" s="9"/>
      <c r="K12" s="6"/>
      <c r="L12" s="6"/>
      <c r="M12" s="6"/>
      <c r="O12" t="str">
        <f t="shared" si="0"/>
        <v/>
      </c>
      <c r="P12">
        <f t="shared" si="1"/>
        <v>0</v>
      </c>
    </row>
    <row r="13" spans="1:17" ht="37.950000000000003" customHeight="1" x14ac:dyDescent="0.3">
      <c r="A13" s="4"/>
      <c r="B13" s="5"/>
      <c r="C13" s="5"/>
      <c r="D13" s="6"/>
      <c r="E13" s="6"/>
      <c r="F13" s="7"/>
      <c r="G13" s="6"/>
      <c r="H13" s="5"/>
      <c r="I13" s="5"/>
      <c r="J13" s="5"/>
      <c r="K13" s="6"/>
      <c r="L13" s="6"/>
      <c r="M13" s="6"/>
      <c r="O13" t="str">
        <f t="shared" si="0"/>
        <v/>
      </c>
      <c r="P13">
        <f t="shared" si="1"/>
        <v>0</v>
      </c>
    </row>
    <row r="14" spans="1:17" ht="37.950000000000003" customHeight="1" x14ac:dyDescent="0.3">
      <c r="A14" s="8"/>
      <c r="B14" s="9"/>
      <c r="C14" s="9"/>
      <c r="D14" s="10"/>
      <c r="E14" s="10"/>
      <c r="F14" s="11"/>
      <c r="G14" s="10"/>
      <c r="H14" s="9"/>
      <c r="I14" s="9"/>
      <c r="J14" s="9"/>
      <c r="K14" s="6"/>
      <c r="L14" s="6"/>
      <c r="M14" s="6"/>
      <c r="O14" t="str">
        <f t="shared" si="0"/>
        <v/>
      </c>
      <c r="P14">
        <f t="shared" si="1"/>
        <v>0</v>
      </c>
    </row>
    <row r="15" spans="1:17" ht="37.950000000000003" customHeight="1" x14ac:dyDescent="0.3">
      <c r="A15" s="4"/>
      <c r="B15" s="5"/>
      <c r="C15" s="5"/>
      <c r="D15" s="6"/>
      <c r="E15" s="6"/>
      <c r="F15" s="7"/>
      <c r="G15" s="6"/>
      <c r="H15" s="5"/>
      <c r="I15" s="5"/>
      <c r="J15" s="5"/>
      <c r="K15" s="6"/>
      <c r="L15" s="6"/>
      <c r="M15" s="6"/>
      <c r="O15" t="str">
        <f t="shared" si="0"/>
        <v/>
      </c>
      <c r="P15">
        <f t="shared" si="1"/>
        <v>0</v>
      </c>
    </row>
    <row r="16" spans="1:17" ht="37.950000000000003" customHeight="1" x14ac:dyDescent="0.3">
      <c r="A16" s="8"/>
      <c r="B16" s="9"/>
      <c r="C16" s="9"/>
      <c r="D16" s="10"/>
      <c r="E16" s="10"/>
      <c r="F16" s="11"/>
      <c r="G16" s="10"/>
      <c r="H16" s="9"/>
      <c r="I16" s="9"/>
      <c r="J16" s="9"/>
      <c r="K16" s="6"/>
      <c r="L16" s="6"/>
      <c r="M16" s="6"/>
      <c r="O16" t="str">
        <f t="shared" si="0"/>
        <v/>
      </c>
      <c r="P16">
        <f t="shared" si="1"/>
        <v>0</v>
      </c>
    </row>
    <row r="17" spans="1:16" ht="37.950000000000003" customHeight="1" x14ac:dyDescent="0.3">
      <c r="A17" s="4"/>
      <c r="B17" s="5"/>
      <c r="C17" s="5"/>
      <c r="D17" s="6"/>
      <c r="E17" s="6"/>
      <c r="F17" s="7"/>
      <c r="G17" s="6"/>
      <c r="H17" s="5"/>
      <c r="I17" s="5"/>
      <c r="J17" s="5"/>
      <c r="K17" s="6"/>
      <c r="L17" s="6"/>
      <c r="M17" s="6"/>
      <c r="O17" t="str">
        <f t="shared" si="0"/>
        <v/>
      </c>
      <c r="P17">
        <f t="shared" si="1"/>
        <v>0</v>
      </c>
    </row>
    <row r="18" spans="1:16" ht="37.950000000000003" customHeight="1" x14ac:dyDescent="0.3">
      <c r="A18" s="8"/>
      <c r="B18" s="9"/>
      <c r="C18" s="9"/>
      <c r="D18" s="10"/>
      <c r="E18" s="10"/>
      <c r="F18" s="11"/>
      <c r="G18" s="10"/>
      <c r="H18" s="9"/>
      <c r="I18" s="9"/>
      <c r="J18" s="9"/>
      <c r="K18" s="6"/>
      <c r="L18" s="6"/>
      <c r="M18" s="6"/>
      <c r="O18" t="str">
        <f t="shared" si="0"/>
        <v/>
      </c>
      <c r="P18">
        <f t="shared" si="1"/>
        <v>0</v>
      </c>
    </row>
    <row r="19" spans="1:16" ht="37.950000000000003" customHeight="1" x14ac:dyDescent="0.3">
      <c r="A19" s="4"/>
      <c r="B19" s="5"/>
      <c r="C19" s="5"/>
      <c r="D19" s="6"/>
      <c r="E19" s="6"/>
      <c r="F19" s="7"/>
      <c r="G19" s="6"/>
      <c r="H19" s="5"/>
      <c r="I19" s="5"/>
      <c r="J19" s="5"/>
      <c r="K19" s="6"/>
      <c r="L19" s="6"/>
      <c r="M19" s="6"/>
      <c r="O19" t="str">
        <f t="shared" si="0"/>
        <v/>
      </c>
      <c r="P19">
        <f t="shared" si="1"/>
        <v>0</v>
      </c>
    </row>
    <row r="20" spans="1:16" ht="37.950000000000003" customHeight="1" x14ac:dyDescent="0.3">
      <c r="A20" s="8"/>
      <c r="B20" s="9"/>
      <c r="C20" s="9"/>
      <c r="D20" s="10"/>
      <c r="E20" s="10"/>
      <c r="F20" s="11"/>
      <c r="G20" s="10"/>
      <c r="H20" s="9"/>
      <c r="I20" s="9"/>
      <c r="J20" s="9"/>
      <c r="K20" s="6"/>
      <c r="L20" s="6"/>
      <c r="M20" s="6"/>
      <c r="O20" t="str">
        <f t="shared" si="0"/>
        <v/>
      </c>
      <c r="P20">
        <f t="shared" si="1"/>
        <v>0</v>
      </c>
    </row>
    <row r="21" spans="1:16" ht="37.950000000000003" customHeight="1" x14ac:dyDescent="0.3">
      <c r="A21" s="4"/>
      <c r="B21" s="5"/>
      <c r="C21" s="5"/>
      <c r="D21" s="6"/>
      <c r="E21" s="6"/>
      <c r="F21" s="7"/>
      <c r="G21" s="6"/>
      <c r="H21" s="5"/>
      <c r="I21" s="5"/>
      <c r="J21" s="5"/>
      <c r="K21" s="6"/>
      <c r="L21" s="6"/>
      <c r="M21" s="6"/>
      <c r="O21" t="str">
        <f t="shared" si="0"/>
        <v/>
      </c>
      <c r="P21">
        <f t="shared" si="1"/>
        <v>0</v>
      </c>
    </row>
    <row r="22" spans="1:16" ht="37.950000000000003" customHeight="1" x14ac:dyDescent="0.3">
      <c r="A22" s="8"/>
      <c r="B22" s="9"/>
      <c r="C22" s="9"/>
      <c r="D22" s="10"/>
      <c r="E22" s="10"/>
      <c r="F22" s="11"/>
      <c r="G22" s="10"/>
      <c r="H22" s="9"/>
      <c r="I22" s="9"/>
      <c r="J22" s="9"/>
      <c r="K22" s="6"/>
      <c r="L22" s="6"/>
      <c r="M22" s="6"/>
      <c r="O22" t="str">
        <f t="shared" si="0"/>
        <v/>
      </c>
      <c r="P22">
        <f t="shared" si="1"/>
        <v>0</v>
      </c>
    </row>
    <row r="23" spans="1:16" ht="37.950000000000003" customHeight="1" x14ac:dyDescent="0.3">
      <c r="A23" s="4"/>
      <c r="B23" s="5"/>
      <c r="C23" s="5"/>
      <c r="D23" s="6"/>
      <c r="E23" s="6"/>
      <c r="F23" s="7"/>
      <c r="G23" s="6"/>
      <c r="H23" s="5"/>
      <c r="I23" s="5"/>
      <c r="J23" s="5"/>
      <c r="K23" s="6"/>
      <c r="L23" s="6"/>
      <c r="M23" s="6"/>
      <c r="O23" t="str">
        <f t="shared" si="0"/>
        <v/>
      </c>
      <c r="P23">
        <f t="shared" si="1"/>
        <v>0</v>
      </c>
    </row>
    <row r="24" spans="1:16" ht="37.950000000000003" customHeight="1" x14ac:dyDescent="0.3">
      <c r="A24" s="8"/>
      <c r="B24" s="9"/>
      <c r="C24" s="9"/>
      <c r="D24" s="10"/>
      <c r="E24" s="10"/>
      <c r="F24" s="11"/>
      <c r="G24" s="10"/>
      <c r="H24" s="9"/>
      <c r="I24" s="9"/>
      <c r="J24" s="9"/>
      <c r="K24" s="6"/>
      <c r="L24" s="6"/>
      <c r="M24" s="6"/>
      <c r="O24" t="str">
        <f t="shared" si="0"/>
        <v/>
      </c>
      <c r="P24">
        <f t="shared" si="1"/>
        <v>0</v>
      </c>
    </row>
    <row r="25" spans="1:16" ht="37.950000000000003" customHeight="1" x14ac:dyDescent="0.3">
      <c r="A25" s="4"/>
      <c r="B25" s="5"/>
      <c r="C25" s="5"/>
      <c r="D25" s="6"/>
      <c r="E25" s="6"/>
      <c r="F25" s="7"/>
      <c r="G25" s="6"/>
      <c r="H25" s="5"/>
      <c r="I25" s="5"/>
      <c r="J25" s="5"/>
      <c r="K25" s="6"/>
      <c r="L25" s="6"/>
      <c r="M25" s="6"/>
      <c r="O25" t="str">
        <f t="shared" si="0"/>
        <v/>
      </c>
      <c r="P25">
        <f t="shared" si="1"/>
        <v>0</v>
      </c>
    </row>
    <row r="26" spans="1:16" ht="37.950000000000003" customHeight="1" x14ac:dyDescent="0.3">
      <c r="A26" s="8"/>
      <c r="B26" s="9"/>
      <c r="C26" s="9"/>
      <c r="D26" s="10"/>
      <c r="E26" s="10"/>
      <c r="F26" s="11"/>
      <c r="G26" s="10"/>
      <c r="H26" s="9"/>
      <c r="I26" s="9"/>
      <c r="J26" s="9"/>
      <c r="K26" s="6"/>
      <c r="L26" s="6"/>
      <c r="M26" s="6"/>
      <c r="O26" t="str">
        <f t="shared" si="0"/>
        <v/>
      </c>
      <c r="P26">
        <f t="shared" si="1"/>
        <v>0</v>
      </c>
    </row>
    <row r="27" spans="1:16" ht="37.950000000000003" customHeight="1" x14ac:dyDescent="0.3">
      <c r="A27" s="4"/>
      <c r="B27" s="5"/>
      <c r="C27" s="5"/>
      <c r="D27" s="6"/>
      <c r="E27" s="6"/>
      <c r="F27" s="7"/>
      <c r="G27" s="6"/>
      <c r="H27" s="5"/>
      <c r="I27" s="5"/>
      <c r="J27" s="5"/>
      <c r="K27" s="6"/>
      <c r="L27" s="6"/>
      <c r="M27" s="6"/>
      <c r="O27" t="str">
        <f t="shared" si="0"/>
        <v/>
      </c>
      <c r="P27">
        <f t="shared" si="1"/>
        <v>0</v>
      </c>
    </row>
    <row r="28" spans="1:16" ht="37.950000000000003" customHeight="1" x14ac:dyDescent="0.3">
      <c r="A28" s="8"/>
      <c r="B28" s="9"/>
      <c r="C28" s="9"/>
      <c r="D28" s="10"/>
      <c r="E28" s="10"/>
      <c r="F28" s="11"/>
      <c r="G28" s="10"/>
      <c r="H28" s="9"/>
      <c r="I28" s="9"/>
      <c r="J28" s="9"/>
      <c r="K28" s="6"/>
      <c r="L28" s="6"/>
      <c r="M28" s="6"/>
      <c r="O28" t="str">
        <f t="shared" si="0"/>
        <v/>
      </c>
      <c r="P28">
        <f t="shared" si="1"/>
        <v>0</v>
      </c>
    </row>
    <row r="29" spans="1:16" ht="37.950000000000003" customHeight="1" x14ac:dyDescent="0.3">
      <c r="A29" s="4"/>
      <c r="B29" s="5"/>
      <c r="C29" s="5"/>
      <c r="D29" s="6"/>
      <c r="E29" s="6"/>
      <c r="F29" s="7"/>
      <c r="G29" s="6"/>
      <c r="H29" s="5"/>
      <c r="I29" s="5"/>
      <c r="J29" s="5"/>
      <c r="K29" s="6"/>
      <c r="L29" s="6"/>
      <c r="M29" s="6"/>
      <c r="O29" t="str">
        <f t="shared" si="0"/>
        <v/>
      </c>
      <c r="P29">
        <f t="shared" si="1"/>
        <v>0</v>
      </c>
    </row>
    <row r="30" spans="1:16" ht="37.950000000000003" customHeight="1" x14ac:dyDescent="0.3">
      <c r="A30" s="8"/>
      <c r="B30" s="9"/>
      <c r="C30" s="9"/>
      <c r="D30" s="10"/>
      <c r="E30" s="10"/>
      <c r="F30" s="11"/>
      <c r="G30" s="10"/>
      <c r="H30" s="9"/>
      <c r="I30" s="9"/>
      <c r="J30" s="9"/>
      <c r="K30" s="6"/>
      <c r="L30" s="6"/>
      <c r="M30" s="6"/>
      <c r="O30" t="str">
        <f t="shared" si="0"/>
        <v/>
      </c>
      <c r="P30">
        <f t="shared" si="1"/>
        <v>0</v>
      </c>
    </row>
    <row r="31" spans="1:16" ht="37.950000000000003" customHeight="1" x14ac:dyDescent="0.3">
      <c r="A31" s="4"/>
      <c r="B31" s="5"/>
      <c r="C31" s="5"/>
      <c r="D31" s="6"/>
      <c r="E31" s="6"/>
      <c r="F31" s="7"/>
      <c r="G31" s="6"/>
      <c r="H31" s="5"/>
      <c r="I31" s="5"/>
      <c r="J31" s="5"/>
      <c r="K31" s="6"/>
      <c r="L31" s="6"/>
      <c r="M31" s="6"/>
      <c r="O31" t="str">
        <f t="shared" si="0"/>
        <v/>
      </c>
      <c r="P31">
        <f t="shared" si="1"/>
        <v>0</v>
      </c>
    </row>
    <row r="32" spans="1:16" ht="37.950000000000003" customHeight="1" x14ac:dyDescent="0.3">
      <c r="A32" s="8"/>
      <c r="B32" s="9"/>
      <c r="C32" s="9"/>
      <c r="D32" s="10"/>
      <c r="E32" s="10"/>
      <c r="F32" s="11"/>
      <c r="G32" s="10"/>
      <c r="H32" s="9"/>
      <c r="I32" s="9"/>
      <c r="J32" s="9"/>
      <c r="K32" s="6"/>
      <c r="L32" s="6"/>
      <c r="M32" s="6"/>
      <c r="O32" t="str">
        <f t="shared" si="0"/>
        <v/>
      </c>
      <c r="P32">
        <f t="shared" si="1"/>
        <v>0</v>
      </c>
    </row>
    <row r="33" spans="1:16" ht="37.950000000000003" customHeight="1" x14ac:dyDescent="0.3">
      <c r="A33" s="4"/>
      <c r="B33" s="5"/>
      <c r="C33" s="5"/>
      <c r="D33" s="6"/>
      <c r="E33" s="6"/>
      <c r="F33" s="7"/>
      <c r="G33" s="6"/>
      <c r="H33" s="5"/>
      <c r="I33" s="5"/>
      <c r="J33" s="5"/>
      <c r="K33" s="6"/>
      <c r="L33" s="6"/>
      <c r="M33" s="6"/>
      <c r="O33" t="str">
        <f t="shared" si="0"/>
        <v/>
      </c>
      <c r="P33">
        <f t="shared" si="1"/>
        <v>0</v>
      </c>
    </row>
    <row r="34" spans="1:16" ht="37.950000000000003" customHeight="1" x14ac:dyDescent="0.3">
      <c r="A34" s="8"/>
      <c r="B34" s="9"/>
      <c r="C34" s="9"/>
      <c r="D34" s="10"/>
      <c r="E34" s="10"/>
      <c r="F34" s="11"/>
      <c r="G34" s="10"/>
      <c r="H34" s="9"/>
      <c r="I34" s="9"/>
      <c r="J34" s="9"/>
      <c r="K34" s="6"/>
      <c r="L34" s="6"/>
      <c r="M34" s="6"/>
      <c r="O34" t="str">
        <f t="shared" si="0"/>
        <v/>
      </c>
      <c r="P34">
        <f t="shared" si="1"/>
        <v>0</v>
      </c>
    </row>
    <row r="35" spans="1:16" ht="37.950000000000003" customHeight="1" x14ac:dyDescent="0.3">
      <c r="A35" s="4"/>
      <c r="B35" s="5"/>
      <c r="C35" s="5"/>
      <c r="D35" s="6"/>
      <c r="E35" s="6"/>
      <c r="F35" s="7"/>
      <c r="G35" s="6"/>
      <c r="H35" s="5"/>
      <c r="I35" s="5"/>
      <c r="J35" s="5"/>
      <c r="K35" s="6"/>
      <c r="L35" s="6"/>
      <c r="M35" s="6"/>
      <c r="O35" t="str">
        <f t="shared" si="0"/>
        <v/>
      </c>
      <c r="P35">
        <f t="shared" si="1"/>
        <v>0</v>
      </c>
    </row>
    <row r="36" spans="1:16" ht="37.950000000000003" customHeight="1" x14ac:dyDescent="0.3">
      <c r="A36" s="8"/>
      <c r="B36" s="9"/>
      <c r="C36" s="9"/>
      <c r="D36" s="10"/>
      <c r="E36" s="10"/>
      <c r="F36" s="11"/>
      <c r="G36" s="10"/>
      <c r="H36" s="9"/>
      <c r="I36" s="9"/>
      <c r="J36" s="9"/>
      <c r="K36" s="6"/>
      <c r="L36" s="6"/>
      <c r="M36" s="6"/>
      <c r="O36" t="str">
        <f t="shared" si="0"/>
        <v/>
      </c>
      <c r="P36">
        <f t="shared" si="1"/>
        <v>0</v>
      </c>
    </row>
    <row r="37" spans="1:16" ht="37.950000000000003" customHeight="1" x14ac:dyDescent="0.3">
      <c r="A37" s="4"/>
      <c r="B37" s="5"/>
      <c r="C37" s="5"/>
      <c r="D37" s="6"/>
      <c r="E37" s="6"/>
      <c r="F37" s="7"/>
      <c r="G37" s="6"/>
      <c r="H37" s="5"/>
      <c r="I37" s="5"/>
      <c r="J37" s="5"/>
      <c r="K37" s="6"/>
      <c r="L37" s="6"/>
      <c r="M37" s="6"/>
      <c r="O37" t="str">
        <f t="shared" si="0"/>
        <v/>
      </c>
      <c r="P37">
        <f t="shared" si="1"/>
        <v>0</v>
      </c>
    </row>
    <row r="38" spans="1:16" ht="37.950000000000003" customHeight="1" x14ac:dyDescent="0.3">
      <c r="A38" s="8"/>
      <c r="B38" s="9"/>
      <c r="C38" s="9"/>
      <c r="D38" s="10"/>
      <c r="E38" s="10"/>
      <c r="F38" s="11"/>
      <c r="G38" s="10"/>
      <c r="H38" s="9"/>
      <c r="I38" s="9"/>
      <c r="J38" s="9"/>
      <c r="K38" s="6"/>
      <c r="L38" s="6"/>
      <c r="M38" s="6"/>
      <c r="O38" t="str">
        <f t="shared" si="0"/>
        <v/>
      </c>
      <c r="P38">
        <f t="shared" si="1"/>
        <v>0</v>
      </c>
    </row>
    <row r="39" spans="1:16" ht="37.950000000000003" customHeight="1" x14ac:dyDescent="0.3">
      <c r="A39" s="4"/>
      <c r="B39" s="5"/>
      <c r="C39" s="5"/>
      <c r="D39" s="6"/>
      <c r="E39" s="6"/>
      <c r="F39" s="7"/>
      <c r="G39" s="6"/>
      <c r="H39" s="5"/>
      <c r="I39" s="5"/>
      <c r="J39" s="5"/>
      <c r="K39" s="6"/>
      <c r="L39" s="6"/>
      <c r="M39" s="6"/>
      <c r="O39" t="str">
        <f t="shared" si="0"/>
        <v/>
      </c>
      <c r="P39">
        <f t="shared" si="1"/>
        <v>0</v>
      </c>
    </row>
    <row r="40" spans="1:16" ht="37.950000000000003" customHeight="1" x14ac:dyDescent="0.3">
      <c r="A40" s="8"/>
      <c r="B40" s="9"/>
      <c r="C40" s="9"/>
      <c r="D40" s="10"/>
      <c r="E40" s="10"/>
      <c r="F40" s="11"/>
      <c r="G40" s="10"/>
      <c r="H40" s="9"/>
      <c r="I40" s="9"/>
      <c r="J40" s="9"/>
      <c r="K40" s="6"/>
      <c r="L40" s="6"/>
      <c r="M40" s="6"/>
      <c r="O40" t="str">
        <f t="shared" si="0"/>
        <v/>
      </c>
      <c r="P40">
        <f t="shared" si="1"/>
        <v>0</v>
      </c>
    </row>
    <row r="41" spans="1:16" ht="37.950000000000003" customHeight="1" x14ac:dyDescent="0.3">
      <c r="A41" s="4"/>
      <c r="B41" s="5"/>
      <c r="C41" s="5"/>
      <c r="D41" s="6"/>
      <c r="E41" s="6"/>
      <c r="F41" s="7"/>
      <c r="G41" s="6"/>
      <c r="H41" s="5"/>
      <c r="I41" s="5"/>
      <c r="J41" s="5"/>
      <c r="K41" s="6"/>
      <c r="L41" s="6"/>
      <c r="M41" s="6"/>
      <c r="O41" t="str">
        <f t="shared" si="0"/>
        <v/>
      </c>
      <c r="P41">
        <f t="shared" si="1"/>
        <v>0</v>
      </c>
    </row>
    <row r="42" spans="1:16" ht="37.950000000000003" customHeight="1" x14ac:dyDescent="0.3">
      <c r="A42" s="8"/>
      <c r="B42" s="9"/>
      <c r="C42" s="9"/>
      <c r="D42" s="10"/>
      <c r="E42" s="10"/>
      <c r="F42" s="11"/>
      <c r="G42" s="10"/>
      <c r="H42" s="9"/>
      <c r="I42" s="9"/>
      <c r="J42" s="9"/>
      <c r="K42" s="6"/>
      <c r="L42" s="6"/>
      <c r="M42" s="6"/>
      <c r="O42" t="str">
        <f t="shared" si="0"/>
        <v/>
      </c>
      <c r="P42">
        <f t="shared" si="1"/>
        <v>0</v>
      </c>
    </row>
    <row r="43" spans="1:16" ht="37.950000000000003" customHeight="1" x14ac:dyDescent="0.3">
      <c r="A43" s="4"/>
      <c r="B43" s="5"/>
      <c r="C43" s="5"/>
      <c r="D43" s="6"/>
      <c r="E43" s="6"/>
      <c r="F43" s="7"/>
      <c r="G43" s="6"/>
      <c r="H43" s="5"/>
      <c r="I43" s="5"/>
      <c r="J43" s="5"/>
      <c r="K43" s="6"/>
      <c r="L43" s="6"/>
      <c r="M43" s="6"/>
      <c r="O43" t="str">
        <f t="shared" si="0"/>
        <v/>
      </c>
      <c r="P43">
        <f t="shared" si="1"/>
        <v>0</v>
      </c>
    </row>
    <row r="44" spans="1:16" ht="37.950000000000003" customHeight="1" x14ac:dyDescent="0.3">
      <c r="A44" s="8"/>
      <c r="B44" s="9"/>
      <c r="C44" s="9"/>
      <c r="D44" s="10"/>
      <c r="E44" s="10"/>
      <c r="F44" s="11"/>
      <c r="G44" s="10"/>
      <c r="H44" s="9"/>
      <c r="I44" s="9"/>
      <c r="J44" s="9"/>
      <c r="K44" s="6"/>
      <c r="L44" s="6"/>
      <c r="M44" s="6"/>
      <c r="O44" t="str">
        <f t="shared" si="0"/>
        <v/>
      </c>
      <c r="P44">
        <f t="shared" si="1"/>
        <v>0</v>
      </c>
    </row>
    <row r="45" spans="1:16" ht="37.950000000000003" customHeight="1" x14ac:dyDescent="0.3">
      <c r="A45" s="4"/>
      <c r="B45" s="5"/>
      <c r="C45" s="5"/>
      <c r="D45" s="6"/>
      <c r="E45" s="6"/>
      <c r="F45" s="7"/>
      <c r="G45" s="6"/>
      <c r="H45" s="5"/>
      <c r="I45" s="5"/>
      <c r="J45" s="5"/>
      <c r="K45" s="6"/>
      <c r="L45" s="6"/>
      <c r="M45" s="6"/>
      <c r="O45" t="str">
        <f t="shared" si="0"/>
        <v/>
      </c>
      <c r="P45">
        <f t="shared" si="1"/>
        <v>0</v>
      </c>
    </row>
    <row r="46" spans="1:16" ht="37.950000000000003" customHeight="1" x14ac:dyDescent="0.3">
      <c r="A46" s="8"/>
      <c r="B46" s="9"/>
      <c r="C46" s="9"/>
      <c r="D46" s="10"/>
      <c r="E46" s="10"/>
      <c r="F46" s="11"/>
      <c r="G46" s="10"/>
      <c r="H46" s="9"/>
      <c r="I46" s="9"/>
      <c r="J46" s="9"/>
      <c r="K46" s="6"/>
      <c r="L46" s="6"/>
      <c r="M46" s="6"/>
      <c r="O46" t="str">
        <f t="shared" si="0"/>
        <v/>
      </c>
      <c r="P46">
        <f t="shared" si="1"/>
        <v>0</v>
      </c>
    </row>
    <row r="47" spans="1:16" ht="37.950000000000003" customHeight="1" x14ac:dyDescent="0.3">
      <c r="A47" s="4"/>
      <c r="B47" s="5"/>
      <c r="C47" s="5"/>
      <c r="D47" s="6"/>
      <c r="E47" s="6"/>
      <c r="F47" s="7"/>
      <c r="G47" s="6"/>
      <c r="H47" s="5"/>
      <c r="I47" s="5"/>
      <c r="J47" s="5"/>
      <c r="K47" s="6"/>
      <c r="L47" s="6"/>
      <c r="M47" s="6"/>
      <c r="O47" t="str">
        <f t="shared" si="0"/>
        <v/>
      </c>
      <c r="P47">
        <f t="shared" si="1"/>
        <v>0</v>
      </c>
    </row>
    <row r="48" spans="1:16" ht="37.950000000000003" customHeight="1" x14ac:dyDescent="0.3">
      <c r="A48" s="8"/>
      <c r="B48" s="9"/>
      <c r="C48" s="9"/>
      <c r="D48" s="10"/>
      <c r="E48" s="10"/>
      <c r="F48" s="11"/>
      <c r="G48" s="10"/>
      <c r="H48" s="9"/>
      <c r="I48" s="9"/>
      <c r="J48" s="9"/>
      <c r="K48" s="6"/>
      <c r="L48" s="6"/>
      <c r="M48" s="6"/>
      <c r="O48" t="str">
        <f t="shared" si="0"/>
        <v/>
      </c>
      <c r="P48">
        <f t="shared" si="1"/>
        <v>0</v>
      </c>
    </row>
    <row r="49" spans="1:16" ht="37.950000000000003" customHeight="1" x14ac:dyDescent="0.3">
      <c r="A49" s="4"/>
      <c r="B49" s="5"/>
      <c r="C49" s="5"/>
      <c r="D49" s="6"/>
      <c r="E49" s="6"/>
      <c r="F49" s="7"/>
      <c r="G49" s="6"/>
      <c r="H49" s="5"/>
      <c r="I49" s="5"/>
      <c r="J49" s="5"/>
      <c r="K49" s="6"/>
      <c r="L49" s="6"/>
      <c r="M49" s="6"/>
      <c r="O49" t="str">
        <f t="shared" si="0"/>
        <v/>
      </c>
      <c r="P49">
        <f t="shared" si="1"/>
        <v>0</v>
      </c>
    </row>
    <row r="50" spans="1:16" ht="37.950000000000003" customHeight="1" x14ac:dyDescent="0.3">
      <c r="A50" s="8"/>
      <c r="B50" s="9"/>
      <c r="C50" s="9"/>
      <c r="D50" s="10"/>
      <c r="E50" s="10"/>
      <c r="F50" s="11"/>
      <c r="G50" s="10"/>
      <c r="H50" s="9"/>
      <c r="I50" s="9"/>
      <c r="J50" s="9"/>
      <c r="K50" s="6"/>
      <c r="L50" s="6"/>
      <c r="M50" s="6"/>
      <c r="O50" t="str">
        <f t="shared" si="0"/>
        <v/>
      </c>
      <c r="P50">
        <f t="shared" si="1"/>
        <v>0</v>
      </c>
    </row>
    <row r="51" spans="1:16" ht="37.950000000000003" customHeight="1" x14ac:dyDescent="0.3">
      <c r="A51" s="4"/>
      <c r="B51" s="5"/>
      <c r="C51" s="5"/>
      <c r="D51" s="6"/>
      <c r="E51" s="6"/>
      <c r="F51" s="7"/>
      <c r="G51" s="6"/>
      <c r="H51" s="5"/>
      <c r="I51" s="5"/>
      <c r="J51" s="5"/>
      <c r="K51" s="6"/>
      <c r="L51" s="6"/>
      <c r="M51" s="6"/>
      <c r="O51" t="str">
        <f t="shared" si="0"/>
        <v/>
      </c>
      <c r="P51">
        <f t="shared" si="1"/>
        <v>0</v>
      </c>
    </row>
    <row r="52" spans="1:16" ht="37.950000000000003" customHeight="1" x14ac:dyDescent="0.3">
      <c r="A52" s="8"/>
      <c r="B52" s="9"/>
      <c r="C52" s="9"/>
      <c r="D52" s="10"/>
      <c r="E52" s="10"/>
      <c r="F52" s="11"/>
      <c r="G52" s="10"/>
      <c r="H52" s="9"/>
      <c r="I52" s="9"/>
      <c r="J52" s="9"/>
      <c r="K52" s="6"/>
      <c r="L52" s="6"/>
      <c r="M52" s="6"/>
      <c r="O52" t="str">
        <f t="shared" si="0"/>
        <v/>
      </c>
      <c r="P52">
        <f t="shared" si="1"/>
        <v>0</v>
      </c>
    </row>
    <row r="53" spans="1:16" ht="37.950000000000003" customHeight="1" x14ac:dyDescent="0.3">
      <c r="A53" s="4"/>
      <c r="B53" s="5"/>
      <c r="C53" s="5"/>
      <c r="D53" s="6"/>
      <c r="E53" s="6"/>
      <c r="F53" s="7"/>
      <c r="G53" s="6"/>
      <c r="H53" s="5"/>
      <c r="I53" s="5"/>
      <c r="J53" s="5"/>
      <c r="K53" s="6"/>
      <c r="L53" s="6"/>
      <c r="M53" s="6"/>
      <c r="O53" t="str">
        <f t="shared" si="0"/>
        <v/>
      </c>
      <c r="P53">
        <f t="shared" si="1"/>
        <v>0</v>
      </c>
    </row>
    <row r="54" spans="1:16" ht="37.950000000000003" customHeight="1" x14ac:dyDescent="0.3">
      <c r="A54" s="8"/>
      <c r="B54" s="9"/>
      <c r="C54" s="9"/>
      <c r="D54" s="10"/>
      <c r="E54" s="10"/>
      <c r="F54" s="11"/>
      <c r="G54" s="10"/>
      <c r="H54" s="9"/>
      <c r="I54" s="9"/>
      <c r="J54" s="9"/>
      <c r="K54" s="6"/>
      <c r="L54" s="6"/>
      <c r="M54" s="6"/>
      <c r="O54" t="str">
        <f t="shared" si="0"/>
        <v/>
      </c>
      <c r="P54">
        <f t="shared" si="1"/>
        <v>0</v>
      </c>
    </row>
    <row r="55" spans="1:16" ht="37.950000000000003" customHeight="1" x14ac:dyDescent="0.3">
      <c r="A55" s="4"/>
      <c r="B55" s="5"/>
      <c r="C55" s="5"/>
      <c r="D55" s="6"/>
      <c r="E55" s="6"/>
      <c r="F55" s="7"/>
      <c r="G55" s="6"/>
      <c r="H55" s="5"/>
      <c r="I55" s="5"/>
      <c r="J55" s="5"/>
      <c r="K55" s="6"/>
      <c r="L55" s="6"/>
      <c r="M55" s="6"/>
      <c r="O55" t="str">
        <f t="shared" si="0"/>
        <v/>
      </c>
      <c r="P55">
        <f t="shared" si="1"/>
        <v>0</v>
      </c>
    </row>
    <row r="56" spans="1:16" ht="37.950000000000003" customHeight="1" x14ac:dyDescent="0.3">
      <c r="A56" s="8"/>
      <c r="B56" s="9"/>
      <c r="C56" s="9"/>
      <c r="D56" s="10"/>
      <c r="E56" s="10"/>
      <c r="F56" s="11"/>
      <c r="G56" s="10"/>
      <c r="H56" s="9"/>
      <c r="I56" s="9"/>
      <c r="J56" s="9"/>
      <c r="K56" s="6"/>
      <c r="L56" s="6"/>
      <c r="M56" s="6"/>
      <c r="O56" t="str">
        <f t="shared" si="0"/>
        <v/>
      </c>
      <c r="P56">
        <f t="shared" si="1"/>
        <v>0</v>
      </c>
    </row>
    <row r="57" spans="1:16" ht="37.950000000000003" customHeight="1" x14ac:dyDescent="0.3">
      <c r="A57" s="4"/>
      <c r="B57" s="5"/>
      <c r="C57" s="5"/>
      <c r="D57" s="6"/>
      <c r="E57" s="6"/>
      <c r="F57" s="7"/>
      <c r="G57" s="6"/>
      <c r="H57" s="5"/>
      <c r="I57" s="5"/>
      <c r="J57" s="5"/>
      <c r="K57" s="6"/>
      <c r="L57" s="6"/>
      <c r="M57" s="6"/>
      <c r="O57" t="str">
        <f t="shared" si="0"/>
        <v/>
      </c>
      <c r="P57">
        <f t="shared" si="1"/>
        <v>0</v>
      </c>
    </row>
    <row r="58" spans="1:16" ht="37.950000000000003" customHeight="1" x14ac:dyDescent="0.3">
      <c r="A58" s="8"/>
      <c r="B58" s="9"/>
      <c r="C58" s="9"/>
      <c r="D58" s="10"/>
      <c r="E58" s="10"/>
      <c r="F58" s="11"/>
      <c r="G58" s="10"/>
      <c r="H58" s="9"/>
      <c r="I58" s="9"/>
      <c r="J58" s="9"/>
      <c r="K58" s="6"/>
      <c r="L58" s="6"/>
      <c r="M58" s="6"/>
      <c r="O58" t="str">
        <f t="shared" si="0"/>
        <v/>
      </c>
      <c r="P58">
        <f t="shared" si="1"/>
        <v>0</v>
      </c>
    </row>
    <row r="59" spans="1:16" ht="37.950000000000003" customHeight="1" x14ac:dyDescent="0.3">
      <c r="A59" s="4"/>
      <c r="B59" s="5"/>
      <c r="C59" s="5"/>
      <c r="D59" s="6"/>
      <c r="E59" s="6"/>
      <c r="F59" s="7"/>
      <c r="G59" s="6"/>
      <c r="H59" s="5"/>
      <c r="I59" s="5"/>
      <c r="J59" s="5"/>
      <c r="K59" s="6"/>
      <c r="L59" s="6"/>
      <c r="M59" s="6"/>
      <c r="O59" t="str">
        <f t="shared" si="0"/>
        <v/>
      </c>
      <c r="P59">
        <f t="shared" si="1"/>
        <v>0</v>
      </c>
    </row>
    <row r="60" spans="1:16" ht="37.950000000000003" customHeight="1" x14ac:dyDescent="0.3">
      <c r="A60" s="8"/>
      <c r="B60" s="9"/>
      <c r="C60" s="9"/>
      <c r="D60" s="10"/>
      <c r="E60" s="10"/>
      <c r="F60" s="11"/>
      <c r="G60" s="10"/>
      <c r="H60" s="9"/>
      <c r="I60" s="9"/>
      <c r="J60" s="9"/>
      <c r="K60" s="6"/>
      <c r="L60" s="6"/>
      <c r="M60" s="6"/>
      <c r="O60" t="str">
        <f t="shared" si="0"/>
        <v/>
      </c>
      <c r="P60">
        <f t="shared" si="1"/>
        <v>0</v>
      </c>
    </row>
    <row r="61" spans="1:16" ht="37.950000000000003" customHeight="1" x14ac:dyDescent="0.3">
      <c r="A61" s="4"/>
      <c r="B61" s="5"/>
      <c r="C61" s="5"/>
      <c r="D61" s="6"/>
      <c r="E61" s="6"/>
      <c r="F61" s="7"/>
      <c r="G61" s="6"/>
      <c r="H61" s="5"/>
      <c r="I61" s="5"/>
      <c r="J61" s="5"/>
      <c r="K61" s="6"/>
      <c r="L61" s="6"/>
      <c r="M61" s="6"/>
      <c r="O61" t="str">
        <f t="shared" si="0"/>
        <v/>
      </c>
      <c r="P61">
        <f t="shared" si="1"/>
        <v>0</v>
      </c>
    </row>
    <row r="62" spans="1:16" ht="37.950000000000003" customHeight="1" x14ac:dyDescent="0.3">
      <c r="A62" s="8"/>
      <c r="B62" s="9"/>
      <c r="C62" s="9"/>
      <c r="D62" s="10"/>
      <c r="E62" s="10"/>
      <c r="F62" s="11"/>
      <c r="G62" s="10"/>
      <c r="H62" s="9"/>
      <c r="I62" s="9"/>
      <c r="J62" s="9"/>
      <c r="K62" s="6"/>
      <c r="L62" s="6"/>
      <c r="M62" s="6"/>
      <c r="O62" t="str">
        <f t="shared" si="0"/>
        <v/>
      </c>
      <c r="P62">
        <f t="shared" si="1"/>
        <v>0</v>
      </c>
    </row>
    <row r="63" spans="1:16" ht="37.950000000000003" customHeight="1" x14ac:dyDescent="0.3">
      <c r="A63" s="4"/>
      <c r="B63" s="5"/>
      <c r="C63" s="5"/>
      <c r="D63" s="6"/>
      <c r="E63" s="6"/>
      <c r="F63" s="7"/>
      <c r="G63" s="6"/>
      <c r="H63" s="5"/>
      <c r="I63" s="5"/>
      <c r="J63" s="5"/>
      <c r="K63" s="6"/>
      <c r="L63" s="6"/>
      <c r="M63" s="6"/>
      <c r="O63" t="str">
        <f t="shared" si="0"/>
        <v/>
      </c>
      <c r="P63">
        <f t="shared" si="1"/>
        <v>0</v>
      </c>
    </row>
    <row r="64" spans="1:16" ht="37.950000000000003" customHeight="1" x14ac:dyDescent="0.3">
      <c r="A64" s="8"/>
      <c r="B64" s="9"/>
      <c r="C64" s="9"/>
      <c r="D64" s="10"/>
      <c r="E64" s="10"/>
      <c r="F64" s="11"/>
      <c r="G64" s="10"/>
      <c r="H64" s="9"/>
      <c r="I64" s="9"/>
      <c r="J64" s="9"/>
      <c r="K64" s="6"/>
      <c r="L64" s="6"/>
      <c r="M64" s="6"/>
      <c r="O64" t="str">
        <f t="shared" si="0"/>
        <v/>
      </c>
      <c r="P64">
        <f t="shared" si="1"/>
        <v>0</v>
      </c>
    </row>
    <row r="65" spans="1:16" ht="37.950000000000003" customHeight="1" x14ac:dyDescent="0.3">
      <c r="A65" s="6"/>
      <c r="B65" s="5"/>
      <c r="C65" s="5"/>
      <c r="D65" s="6"/>
      <c r="E65" s="6"/>
      <c r="F65" s="7"/>
      <c r="G65" s="6"/>
      <c r="H65" s="5"/>
      <c r="I65" s="5"/>
      <c r="J65" s="5"/>
      <c r="K65" s="6"/>
      <c r="L65" s="6"/>
      <c r="M65" s="6"/>
      <c r="O65" t="str">
        <f t="shared" si="0"/>
        <v/>
      </c>
      <c r="P65">
        <f t="shared" si="1"/>
        <v>0</v>
      </c>
    </row>
    <row r="66" spans="1:16" ht="37.950000000000003" customHeight="1" x14ac:dyDescent="0.3">
      <c r="A66" s="6"/>
      <c r="B66" s="5"/>
      <c r="C66" s="5"/>
      <c r="D66" s="6"/>
      <c r="E66" s="6"/>
      <c r="F66" s="7"/>
      <c r="G66" s="6"/>
      <c r="H66" s="5"/>
      <c r="I66" s="5"/>
      <c r="J66" s="5"/>
      <c r="K66" s="6"/>
      <c r="L66" s="6"/>
      <c r="M66" s="6"/>
      <c r="O66" t="str">
        <f t="shared" si="0"/>
        <v/>
      </c>
      <c r="P66">
        <f t="shared" si="1"/>
        <v>0</v>
      </c>
    </row>
    <row r="67" spans="1:16" ht="37.950000000000003" customHeight="1" x14ac:dyDescent="0.3">
      <c r="A67" s="6"/>
      <c r="B67" s="5"/>
      <c r="C67" s="5"/>
      <c r="D67" s="6"/>
      <c r="E67" s="6"/>
      <c r="F67" s="7"/>
      <c r="G67" s="6"/>
      <c r="H67" s="5"/>
      <c r="I67" s="5"/>
      <c r="J67" s="5"/>
      <c r="K67" s="6"/>
      <c r="L67" s="6"/>
      <c r="M67" s="6"/>
      <c r="O67" t="str">
        <f t="shared" si="0"/>
        <v/>
      </c>
      <c r="P67">
        <f t="shared" si="1"/>
        <v>0</v>
      </c>
    </row>
    <row r="68" spans="1:16" ht="37.950000000000003" customHeight="1" x14ac:dyDescent="0.3">
      <c r="A68" s="6"/>
      <c r="B68" s="5"/>
      <c r="C68" s="5"/>
      <c r="D68" s="6"/>
      <c r="E68" s="6"/>
      <c r="F68" s="7"/>
      <c r="G68" s="6"/>
      <c r="H68" s="5"/>
      <c r="I68" s="5"/>
      <c r="J68" s="5"/>
      <c r="K68" s="6"/>
      <c r="L68" s="6"/>
      <c r="M68" s="6"/>
      <c r="O68" t="str">
        <f t="shared" si="0"/>
        <v/>
      </c>
      <c r="P68">
        <f t="shared" si="1"/>
        <v>0</v>
      </c>
    </row>
    <row r="69" spans="1:16" ht="37.950000000000003" customHeight="1" x14ac:dyDescent="0.3">
      <c r="A69" s="6"/>
      <c r="B69" s="5"/>
      <c r="C69" s="5"/>
      <c r="D69" s="6"/>
      <c r="E69" s="6"/>
      <c r="F69" s="7"/>
      <c r="G69" s="6"/>
      <c r="H69" s="5"/>
      <c r="I69" s="5"/>
      <c r="J69" s="5"/>
      <c r="K69" s="6"/>
      <c r="L69" s="6"/>
      <c r="M69" s="6"/>
      <c r="O69" t="str">
        <f t="shared" ref="O69:O132" si="2">IF($B69="Reading &amp; Writing","secRW",IF($B69="Math","secMath",""))</f>
        <v/>
      </c>
      <c r="P69">
        <f t="shared" ref="P69:P132" si="3">IF(COUNTA(A69:M69)&gt;0,1,0)</f>
        <v>0</v>
      </c>
    </row>
    <row r="70" spans="1:16" ht="37.950000000000003" customHeight="1" x14ac:dyDescent="0.3">
      <c r="A70" s="6"/>
      <c r="B70" s="5"/>
      <c r="C70" s="5"/>
      <c r="D70" s="6"/>
      <c r="E70" s="6"/>
      <c r="F70" s="7"/>
      <c r="G70" s="6"/>
      <c r="H70" s="5"/>
      <c r="I70" s="5"/>
      <c r="J70" s="5"/>
      <c r="K70" s="6"/>
      <c r="L70" s="6"/>
      <c r="M70" s="6"/>
      <c r="O70" t="str">
        <f t="shared" si="2"/>
        <v/>
      </c>
      <c r="P70">
        <f t="shared" si="3"/>
        <v>0</v>
      </c>
    </row>
    <row r="71" spans="1:16" ht="37.950000000000003" customHeight="1" x14ac:dyDescent="0.3">
      <c r="A71" s="6"/>
      <c r="B71" s="5"/>
      <c r="C71" s="5"/>
      <c r="D71" s="6"/>
      <c r="E71" s="6"/>
      <c r="F71" s="7"/>
      <c r="G71" s="6"/>
      <c r="H71" s="5"/>
      <c r="I71" s="5"/>
      <c r="J71" s="5"/>
      <c r="K71" s="6"/>
      <c r="L71" s="6"/>
      <c r="M71" s="6"/>
      <c r="O71" t="str">
        <f t="shared" si="2"/>
        <v/>
      </c>
      <c r="P71">
        <f t="shared" si="3"/>
        <v>0</v>
      </c>
    </row>
    <row r="72" spans="1:16" ht="37.950000000000003" customHeight="1" x14ac:dyDescent="0.3">
      <c r="A72" s="6"/>
      <c r="B72" s="5"/>
      <c r="C72" s="5"/>
      <c r="D72" s="6"/>
      <c r="E72" s="6"/>
      <c r="F72" s="7"/>
      <c r="G72" s="6"/>
      <c r="H72" s="5"/>
      <c r="I72" s="5"/>
      <c r="J72" s="5"/>
      <c r="K72" s="6"/>
      <c r="L72" s="6"/>
      <c r="M72" s="6"/>
      <c r="O72" t="str">
        <f t="shared" si="2"/>
        <v/>
      </c>
      <c r="P72">
        <f t="shared" si="3"/>
        <v>0</v>
      </c>
    </row>
    <row r="73" spans="1:16" ht="37.950000000000003" customHeight="1" x14ac:dyDescent="0.3">
      <c r="A73" s="6"/>
      <c r="B73" s="5"/>
      <c r="C73" s="5"/>
      <c r="D73" s="6"/>
      <c r="E73" s="6"/>
      <c r="F73" s="7"/>
      <c r="G73" s="6"/>
      <c r="H73" s="5"/>
      <c r="I73" s="5"/>
      <c r="J73" s="5"/>
      <c r="K73" s="6"/>
      <c r="L73" s="6"/>
      <c r="M73" s="6"/>
      <c r="O73" t="str">
        <f t="shared" si="2"/>
        <v/>
      </c>
      <c r="P73">
        <f t="shared" si="3"/>
        <v>0</v>
      </c>
    </row>
    <row r="74" spans="1:16" ht="37.950000000000003" customHeight="1" x14ac:dyDescent="0.3">
      <c r="A74" s="6"/>
      <c r="B74" s="5"/>
      <c r="C74" s="5"/>
      <c r="D74" s="6"/>
      <c r="E74" s="6"/>
      <c r="F74" s="7"/>
      <c r="G74" s="6"/>
      <c r="H74" s="5"/>
      <c r="I74" s="5"/>
      <c r="J74" s="5"/>
      <c r="K74" s="6"/>
      <c r="L74" s="6"/>
      <c r="M74" s="6"/>
      <c r="O74" t="str">
        <f t="shared" si="2"/>
        <v/>
      </c>
      <c r="P74">
        <f t="shared" si="3"/>
        <v>0</v>
      </c>
    </row>
    <row r="75" spans="1:16" ht="37.950000000000003" customHeight="1" x14ac:dyDescent="0.3">
      <c r="A75" s="6"/>
      <c r="B75" s="5"/>
      <c r="C75" s="5"/>
      <c r="D75" s="6"/>
      <c r="E75" s="6"/>
      <c r="F75" s="7"/>
      <c r="G75" s="6"/>
      <c r="H75" s="5"/>
      <c r="I75" s="5"/>
      <c r="J75" s="5"/>
      <c r="K75" s="6"/>
      <c r="L75" s="6"/>
      <c r="M75" s="6"/>
      <c r="O75" t="str">
        <f t="shared" si="2"/>
        <v/>
      </c>
      <c r="P75">
        <f t="shared" si="3"/>
        <v>0</v>
      </c>
    </row>
    <row r="76" spans="1:16" ht="37.950000000000003" customHeight="1" x14ac:dyDescent="0.3">
      <c r="A76" s="6"/>
      <c r="B76" s="5"/>
      <c r="C76" s="5"/>
      <c r="D76" s="6"/>
      <c r="E76" s="6"/>
      <c r="F76" s="7"/>
      <c r="G76" s="6"/>
      <c r="H76" s="5"/>
      <c r="I76" s="5"/>
      <c r="J76" s="5"/>
      <c r="K76" s="6"/>
      <c r="L76" s="6"/>
      <c r="M76" s="6"/>
      <c r="O76" t="str">
        <f t="shared" si="2"/>
        <v/>
      </c>
      <c r="P76">
        <f t="shared" si="3"/>
        <v>0</v>
      </c>
    </row>
    <row r="77" spans="1:16" ht="37.950000000000003" customHeight="1" x14ac:dyDescent="0.3">
      <c r="A77" s="6"/>
      <c r="B77" s="5"/>
      <c r="C77" s="5"/>
      <c r="D77" s="6"/>
      <c r="E77" s="6"/>
      <c r="F77" s="7"/>
      <c r="G77" s="6"/>
      <c r="H77" s="5"/>
      <c r="I77" s="5"/>
      <c r="J77" s="5"/>
      <c r="K77" s="6"/>
      <c r="L77" s="6"/>
      <c r="M77" s="6"/>
      <c r="O77" t="str">
        <f t="shared" si="2"/>
        <v/>
      </c>
      <c r="P77">
        <f t="shared" si="3"/>
        <v>0</v>
      </c>
    </row>
    <row r="78" spans="1:16" ht="37.950000000000003" customHeight="1" x14ac:dyDescent="0.3">
      <c r="A78" s="6"/>
      <c r="B78" s="5"/>
      <c r="C78" s="5"/>
      <c r="D78" s="6"/>
      <c r="E78" s="6"/>
      <c r="F78" s="7"/>
      <c r="G78" s="6"/>
      <c r="H78" s="5"/>
      <c r="I78" s="5"/>
      <c r="J78" s="5"/>
      <c r="K78" s="6"/>
      <c r="L78" s="6"/>
      <c r="M78" s="6"/>
      <c r="O78" t="str">
        <f t="shared" si="2"/>
        <v/>
      </c>
      <c r="P78">
        <f t="shared" si="3"/>
        <v>0</v>
      </c>
    </row>
    <row r="79" spans="1:16" ht="37.950000000000003" customHeight="1" x14ac:dyDescent="0.3">
      <c r="A79" s="6"/>
      <c r="B79" s="5"/>
      <c r="C79" s="5"/>
      <c r="D79" s="6"/>
      <c r="E79" s="6"/>
      <c r="F79" s="7"/>
      <c r="G79" s="6"/>
      <c r="H79" s="5"/>
      <c r="I79" s="5"/>
      <c r="J79" s="5"/>
      <c r="K79" s="6"/>
      <c r="L79" s="6"/>
      <c r="M79" s="6"/>
      <c r="O79" t="str">
        <f t="shared" si="2"/>
        <v/>
      </c>
      <c r="P79">
        <f t="shared" si="3"/>
        <v>0</v>
      </c>
    </row>
    <row r="80" spans="1:16" ht="37.950000000000003" customHeight="1" x14ac:dyDescent="0.3">
      <c r="A80" s="6"/>
      <c r="B80" s="5"/>
      <c r="C80" s="5"/>
      <c r="D80" s="6"/>
      <c r="E80" s="6"/>
      <c r="F80" s="7"/>
      <c r="G80" s="6"/>
      <c r="H80" s="5"/>
      <c r="I80" s="5"/>
      <c r="J80" s="5"/>
      <c r="K80" s="6"/>
      <c r="L80" s="6"/>
      <c r="M80" s="6"/>
      <c r="O80" t="str">
        <f t="shared" si="2"/>
        <v/>
      </c>
      <c r="P80">
        <f t="shared" si="3"/>
        <v>0</v>
      </c>
    </row>
    <row r="81" spans="1:16" ht="37.950000000000003" customHeight="1" x14ac:dyDescent="0.3">
      <c r="A81" s="6"/>
      <c r="B81" s="5"/>
      <c r="C81" s="5"/>
      <c r="D81" s="6"/>
      <c r="E81" s="6"/>
      <c r="F81" s="7"/>
      <c r="G81" s="6"/>
      <c r="H81" s="5"/>
      <c r="I81" s="5"/>
      <c r="J81" s="5"/>
      <c r="K81" s="6"/>
      <c r="L81" s="6"/>
      <c r="M81" s="6"/>
      <c r="O81" t="str">
        <f t="shared" si="2"/>
        <v/>
      </c>
      <c r="P81">
        <f t="shared" si="3"/>
        <v>0</v>
      </c>
    </row>
    <row r="82" spans="1:16" ht="37.950000000000003" customHeight="1" x14ac:dyDescent="0.3">
      <c r="A82" s="6"/>
      <c r="B82" s="5"/>
      <c r="C82" s="5"/>
      <c r="D82" s="6"/>
      <c r="E82" s="6"/>
      <c r="F82" s="7"/>
      <c r="G82" s="6"/>
      <c r="H82" s="5"/>
      <c r="I82" s="5"/>
      <c r="J82" s="5"/>
      <c r="K82" s="6"/>
      <c r="L82" s="6"/>
      <c r="M82" s="6"/>
      <c r="O82" t="str">
        <f t="shared" si="2"/>
        <v/>
      </c>
      <c r="P82">
        <f t="shared" si="3"/>
        <v>0</v>
      </c>
    </row>
    <row r="83" spans="1:16" ht="37.950000000000003" customHeight="1" x14ac:dyDescent="0.3">
      <c r="A83" s="6"/>
      <c r="B83" s="5"/>
      <c r="C83" s="5"/>
      <c r="D83" s="6"/>
      <c r="E83" s="6"/>
      <c r="F83" s="7"/>
      <c r="G83" s="6"/>
      <c r="H83" s="5"/>
      <c r="I83" s="5"/>
      <c r="J83" s="5"/>
      <c r="K83" s="6"/>
      <c r="L83" s="6"/>
      <c r="M83" s="6"/>
      <c r="O83" t="str">
        <f t="shared" si="2"/>
        <v/>
      </c>
      <c r="P83">
        <f t="shared" si="3"/>
        <v>0</v>
      </c>
    </row>
    <row r="84" spans="1:16" ht="37.950000000000003" customHeight="1" x14ac:dyDescent="0.3">
      <c r="A84" s="6"/>
      <c r="B84" s="5"/>
      <c r="C84" s="5"/>
      <c r="D84" s="6"/>
      <c r="E84" s="6"/>
      <c r="F84" s="7"/>
      <c r="G84" s="6"/>
      <c r="H84" s="5"/>
      <c r="I84" s="5"/>
      <c r="J84" s="5"/>
      <c r="K84" s="6"/>
      <c r="L84" s="6"/>
      <c r="M84" s="6"/>
      <c r="O84" t="str">
        <f t="shared" si="2"/>
        <v/>
      </c>
      <c r="P84">
        <f t="shared" si="3"/>
        <v>0</v>
      </c>
    </row>
    <row r="85" spans="1:16" ht="37.950000000000003" customHeight="1" x14ac:dyDescent="0.3">
      <c r="A85" s="6"/>
      <c r="B85" s="5"/>
      <c r="C85" s="5"/>
      <c r="D85" s="6"/>
      <c r="E85" s="6"/>
      <c r="F85" s="7"/>
      <c r="G85" s="6"/>
      <c r="H85" s="5"/>
      <c r="I85" s="5"/>
      <c r="J85" s="5"/>
      <c r="K85" s="6"/>
      <c r="L85" s="6"/>
      <c r="M85" s="6"/>
      <c r="O85" t="str">
        <f t="shared" si="2"/>
        <v/>
      </c>
      <c r="P85">
        <f t="shared" si="3"/>
        <v>0</v>
      </c>
    </row>
    <row r="86" spans="1:16" ht="37.950000000000003" customHeight="1" x14ac:dyDescent="0.3">
      <c r="A86" s="6"/>
      <c r="B86" s="5"/>
      <c r="C86" s="5"/>
      <c r="D86" s="6"/>
      <c r="E86" s="6"/>
      <c r="F86" s="7"/>
      <c r="G86" s="6"/>
      <c r="H86" s="5"/>
      <c r="I86" s="5"/>
      <c r="J86" s="5"/>
      <c r="K86" s="6"/>
      <c r="L86" s="6"/>
      <c r="M86" s="6"/>
      <c r="O86" t="str">
        <f t="shared" si="2"/>
        <v/>
      </c>
      <c r="P86">
        <f t="shared" si="3"/>
        <v>0</v>
      </c>
    </row>
    <row r="87" spans="1:16" ht="37.950000000000003" customHeight="1" x14ac:dyDescent="0.3">
      <c r="A87" s="6"/>
      <c r="B87" s="5"/>
      <c r="C87" s="5"/>
      <c r="D87" s="6"/>
      <c r="E87" s="6"/>
      <c r="F87" s="7"/>
      <c r="G87" s="6"/>
      <c r="H87" s="5"/>
      <c r="I87" s="5"/>
      <c r="J87" s="5"/>
      <c r="K87" s="6"/>
      <c r="L87" s="6"/>
      <c r="M87" s="6"/>
      <c r="O87" t="str">
        <f t="shared" si="2"/>
        <v/>
      </c>
      <c r="P87">
        <f t="shared" si="3"/>
        <v>0</v>
      </c>
    </row>
    <row r="88" spans="1:16" ht="37.950000000000003" customHeight="1" x14ac:dyDescent="0.3">
      <c r="A88" s="6"/>
      <c r="B88" s="5"/>
      <c r="C88" s="5"/>
      <c r="D88" s="6"/>
      <c r="E88" s="6"/>
      <c r="F88" s="7"/>
      <c r="G88" s="6"/>
      <c r="H88" s="5"/>
      <c r="I88" s="5"/>
      <c r="J88" s="5"/>
      <c r="K88" s="6"/>
      <c r="L88" s="6"/>
      <c r="M88" s="6"/>
      <c r="O88" t="str">
        <f t="shared" si="2"/>
        <v/>
      </c>
      <c r="P88">
        <f t="shared" si="3"/>
        <v>0</v>
      </c>
    </row>
    <row r="89" spans="1:16" ht="37.950000000000003" customHeight="1" x14ac:dyDescent="0.3">
      <c r="A89" s="6"/>
      <c r="B89" s="5"/>
      <c r="C89" s="5"/>
      <c r="D89" s="6"/>
      <c r="E89" s="6"/>
      <c r="F89" s="7"/>
      <c r="G89" s="6"/>
      <c r="H89" s="5"/>
      <c r="I89" s="5"/>
      <c r="J89" s="5"/>
      <c r="K89" s="6"/>
      <c r="L89" s="6"/>
      <c r="M89" s="6"/>
      <c r="O89" t="str">
        <f t="shared" si="2"/>
        <v/>
      </c>
      <c r="P89">
        <f t="shared" si="3"/>
        <v>0</v>
      </c>
    </row>
    <row r="90" spans="1:16" ht="37.950000000000003" customHeight="1" x14ac:dyDescent="0.3">
      <c r="A90" s="6"/>
      <c r="B90" s="5"/>
      <c r="C90" s="5"/>
      <c r="D90" s="6"/>
      <c r="E90" s="6"/>
      <c r="F90" s="7"/>
      <c r="G90" s="6"/>
      <c r="H90" s="5"/>
      <c r="I90" s="5"/>
      <c r="J90" s="5"/>
      <c r="K90" s="6"/>
      <c r="L90" s="6"/>
      <c r="M90" s="6"/>
      <c r="O90" t="str">
        <f t="shared" si="2"/>
        <v/>
      </c>
      <c r="P90">
        <f t="shared" si="3"/>
        <v>0</v>
      </c>
    </row>
    <row r="91" spans="1:16" ht="37.950000000000003" customHeight="1" x14ac:dyDescent="0.3">
      <c r="A91" s="6"/>
      <c r="B91" s="5"/>
      <c r="C91" s="5"/>
      <c r="D91" s="6"/>
      <c r="E91" s="6"/>
      <c r="F91" s="7"/>
      <c r="G91" s="6"/>
      <c r="H91" s="5"/>
      <c r="I91" s="5"/>
      <c r="J91" s="5"/>
      <c r="K91" s="6"/>
      <c r="L91" s="6"/>
      <c r="M91" s="6"/>
      <c r="O91" t="str">
        <f t="shared" si="2"/>
        <v/>
      </c>
      <c r="P91">
        <f t="shared" si="3"/>
        <v>0</v>
      </c>
    </row>
    <row r="92" spans="1:16" ht="37.950000000000003" customHeight="1" x14ac:dyDescent="0.3">
      <c r="A92" s="6"/>
      <c r="B92" s="5"/>
      <c r="C92" s="5"/>
      <c r="D92" s="6"/>
      <c r="E92" s="6"/>
      <c r="F92" s="7"/>
      <c r="G92" s="6"/>
      <c r="H92" s="5"/>
      <c r="I92" s="5"/>
      <c r="J92" s="5"/>
      <c r="K92" s="6"/>
      <c r="L92" s="6"/>
      <c r="M92" s="6"/>
      <c r="O92" t="str">
        <f t="shared" si="2"/>
        <v/>
      </c>
      <c r="P92">
        <f t="shared" si="3"/>
        <v>0</v>
      </c>
    </row>
    <row r="93" spans="1:16" ht="37.950000000000003" customHeight="1" x14ac:dyDescent="0.3">
      <c r="A93" s="6"/>
      <c r="B93" s="5"/>
      <c r="C93" s="5"/>
      <c r="D93" s="6"/>
      <c r="E93" s="6"/>
      <c r="F93" s="7"/>
      <c r="G93" s="6"/>
      <c r="H93" s="5"/>
      <c r="I93" s="5"/>
      <c r="J93" s="5"/>
      <c r="K93" s="6"/>
      <c r="L93" s="6"/>
      <c r="M93" s="6"/>
      <c r="O93" t="str">
        <f t="shared" si="2"/>
        <v/>
      </c>
      <c r="P93">
        <f t="shared" si="3"/>
        <v>0</v>
      </c>
    </row>
    <row r="94" spans="1:16" ht="37.950000000000003" customHeight="1" x14ac:dyDescent="0.3">
      <c r="A94" s="6"/>
      <c r="B94" s="5"/>
      <c r="C94" s="5"/>
      <c r="D94" s="6"/>
      <c r="E94" s="6"/>
      <c r="F94" s="7"/>
      <c r="G94" s="6"/>
      <c r="H94" s="5"/>
      <c r="I94" s="5"/>
      <c r="J94" s="5"/>
      <c r="K94" s="6"/>
      <c r="L94" s="6"/>
      <c r="M94" s="6"/>
      <c r="O94" t="str">
        <f t="shared" si="2"/>
        <v/>
      </c>
      <c r="P94">
        <f t="shared" si="3"/>
        <v>0</v>
      </c>
    </row>
    <row r="95" spans="1:16" ht="37.950000000000003" customHeight="1" x14ac:dyDescent="0.3">
      <c r="A95" s="6"/>
      <c r="B95" s="5"/>
      <c r="C95" s="5"/>
      <c r="D95" s="6"/>
      <c r="E95" s="6"/>
      <c r="F95" s="7"/>
      <c r="G95" s="6"/>
      <c r="H95" s="5"/>
      <c r="I95" s="5"/>
      <c r="J95" s="5"/>
      <c r="K95" s="6"/>
      <c r="L95" s="6"/>
      <c r="M95" s="6"/>
      <c r="O95" t="str">
        <f t="shared" si="2"/>
        <v/>
      </c>
      <c r="P95">
        <f t="shared" si="3"/>
        <v>0</v>
      </c>
    </row>
    <row r="96" spans="1:16" ht="37.950000000000003" customHeight="1" x14ac:dyDescent="0.3">
      <c r="A96" s="6"/>
      <c r="B96" s="5"/>
      <c r="C96" s="5"/>
      <c r="D96" s="6"/>
      <c r="E96" s="6"/>
      <c r="F96" s="7"/>
      <c r="G96" s="6"/>
      <c r="H96" s="5"/>
      <c r="I96" s="5"/>
      <c r="J96" s="5"/>
      <c r="K96" s="6"/>
      <c r="L96" s="6"/>
      <c r="M96" s="6"/>
      <c r="O96" t="str">
        <f t="shared" si="2"/>
        <v/>
      </c>
      <c r="P96">
        <f t="shared" si="3"/>
        <v>0</v>
      </c>
    </row>
    <row r="97" spans="1:16" ht="37.950000000000003" customHeight="1" x14ac:dyDescent="0.3">
      <c r="A97" s="6"/>
      <c r="B97" s="5"/>
      <c r="C97" s="5"/>
      <c r="D97" s="6"/>
      <c r="E97" s="6"/>
      <c r="F97" s="7"/>
      <c r="G97" s="6"/>
      <c r="H97" s="5"/>
      <c r="I97" s="5"/>
      <c r="J97" s="5"/>
      <c r="K97" s="6"/>
      <c r="L97" s="6"/>
      <c r="M97" s="6"/>
      <c r="O97" t="str">
        <f t="shared" si="2"/>
        <v/>
      </c>
      <c r="P97">
        <f t="shared" si="3"/>
        <v>0</v>
      </c>
    </row>
    <row r="98" spans="1:16" ht="37.950000000000003" customHeight="1" x14ac:dyDescent="0.3">
      <c r="A98" s="6"/>
      <c r="B98" s="5"/>
      <c r="C98" s="5"/>
      <c r="D98" s="6"/>
      <c r="E98" s="6"/>
      <c r="F98" s="7"/>
      <c r="G98" s="6"/>
      <c r="H98" s="5"/>
      <c r="I98" s="5"/>
      <c r="J98" s="5"/>
      <c r="K98" s="6"/>
      <c r="L98" s="6"/>
      <c r="M98" s="6"/>
      <c r="O98" t="str">
        <f t="shared" si="2"/>
        <v/>
      </c>
      <c r="P98">
        <f t="shared" si="3"/>
        <v>0</v>
      </c>
    </row>
    <row r="99" spans="1:16" ht="37.950000000000003" customHeight="1" x14ac:dyDescent="0.3">
      <c r="A99" s="6"/>
      <c r="B99" s="5"/>
      <c r="C99" s="5"/>
      <c r="D99" s="6"/>
      <c r="E99" s="6"/>
      <c r="F99" s="7"/>
      <c r="G99" s="6"/>
      <c r="H99" s="5"/>
      <c r="I99" s="5"/>
      <c r="J99" s="5"/>
      <c r="K99" s="6"/>
      <c r="L99" s="6"/>
      <c r="M99" s="6"/>
      <c r="O99" t="str">
        <f t="shared" si="2"/>
        <v/>
      </c>
      <c r="P99">
        <f t="shared" si="3"/>
        <v>0</v>
      </c>
    </row>
    <row r="100" spans="1:16" ht="37.950000000000003" customHeight="1" x14ac:dyDescent="0.3">
      <c r="A100" s="6"/>
      <c r="B100" s="5"/>
      <c r="C100" s="5"/>
      <c r="D100" s="6"/>
      <c r="E100" s="6"/>
      <c r="F100" s="7"/>
      <c r="G100" s="6"/>
      <c r="H100" s="5"/>
      <c r="I100" s="5"/>
      <c r="J100" s="5"/>
      <c r="K100" s="6"/>
      <c r="L100" s="6"/>
      <c r="M100" s="6"/>
      <c r="O100" t="str">
        <f t="shared" si="2"/>
        <v/>
      </c>
      <c r="P100">
        <f t="shared" si="3"/>
        <v>0</v>
      </c>
    </row>
    <row r="101" spans="1:16" ht="37.950000000000003" customHeight="1" x14ac:dyDescent="0.3">
      <c r="A101" s="6"/>
      <c r="B101" s="5"/>
      <c r="C101" s="5"/>
      <c r="D101" s="6"/>
      <c r="E101" s="6"/>
      <c r="F101" s="7"/>
      <c r="G101" s="6"/>
      <c r="H101" s="5"/>
      <c r="I101" s="5"/>
      <c r="J101" s="5"/>
      <c r="K101" s="6"/>
      <c r="L101" s="6"/>
      <c r="M101" s="6"/>
      <c r="O101" t="str">
        <f t="shared" si="2"/>
        <v/>
      </c>
      <c r="P101">
        <f t="shared" si="3"/>
        <v>0</v>
      </c>
    </row>
    <row r="102" spans="1:16" ht="37.950000000000003" customHeight="1" x14ac:dyDescent="0.3">
      <c r="A102" s="6"/>
      <c r="B102" s="5"/>
      <c r="C102" s="5"/>
      <c r="D102" s="6"/>
      <c r="E102" s="6"/>
      <c r="F102" s="7"/>
      <c r="G102" s="6"/>
      <c r="H102" s="5"/>
      <c r="I102" s="5"/>
      <c r="J102" s="5"/>
      <c r="K102" s="6"/>
      <c r="L102" s="6"/>
      <c r="M102" s="6"/>
      <c r="O102" t="str">
        <f t="shared" si="2"/>
        <v/>
      </c>
      <c r="P102">
        <f t="shared" si="3"/>
        <v>0</v>
      </c>
    </row>
    <row r="103" spans="1:16" ht="37.950000000000003" customHeight="1" x14ac:dyDescent="0.3">
      <c r="A103" s="6"/>
      <c r="B103" s="5"/>
      <c r="C103" s="5"/>
      <c r="D103" s="6"/>
      <c r="E103" s="6"/>
      <c r="F103" s="7"/>
      <c r="G103" s="6"/>
      <c r="H103" s="5"/>
      <c r="I103" s="5"/>
      <c r="J103" s="5"/>
      <c r="K103" s="6"/>
      <c r="L103" s="6"/>
      <c r="M103" s="6"/>
      <c r="O103" t="str">
        <f t="shared" si="2"/>
        <v/>
      </c>
      <c r="P103">
        <f t="shared" si="3"/>
        <v>0</v>
      </c>
    </row>
    <row r="104" spans="1:16" ht="37.950000000000003" customHeight="1" x14ac:dyDescent="0.3">
      <c r="A104" s="6"/>
      <c r="B104" s="5"/>
      <c r="C104" s="5"/>
      <c r="D104" s="6"/>
      <c r="E104" s="6"/>
      <c r="F104" s="7"/>
      <c r="G104" s="6"/>
      <c r="H104" s="5"/>
      <c r="I104" s="5"/>
      <c r="J104" s="5"/>
      <c r="K104" s="6"/>
      <c r="L104" s="6"/>
      <c r="M104" s="6"/>
      <c r="O104" t="str">
        <f t="shared" si="2"/>
        <v/>
      </c>
      <c r="P104">
        <f t="shared" si="3"/>
        <v>0</v>
      </c>
    </row>
    <row r="105" spans="1:16" ht="37.950000000000003" customHeight="1" x14ac:dyDescent="0.3">
      <c r="A105" s="6"/>
      <c r="B105" s="5"/>
      <c r="C105" s="5"/>
      <c r="D105" s="6"/>
      <c r="E105" s="6"/>
      <c r="F105" s="7"/>
      <c r="G105" s="6"/>
      <c r="H105" s="5"/>
      <c r="I105" s="5"/>
      <c r="J105" s="5"/>
      <c r="K105" s="6"/>
      <c r="L105" s="6"/>
      <c r="M105" s="6"/>
      <c r="O105" t="str">
        <f t="shared" si="2"/>
        <v/>
      </c>
      <c r="P105">
        <f t="shared" si="3"/>
        <v>0</v>
      </c>
    </row>
    <row r="106" spans="1:16" ht="37.950000000000003" customHeight="1" x14ac:dyDescent="0.3">
      <c r="A106" s="6"/>
      <c r="B106" s="5"/>
      <c r="C106" s="5"/>
      <c r="D106" s="6"/>
      <c r="E106" s="6"/>
      <c r="F106" s="7"/>
      <c r="G106" s="6"/>
      <c r="H106" s="5"/>
      <c r="I106" s="5"/>
      <c r="J106" s="5"/>
      <c r="K106" s="6"/>
      <c r="L106" s="6"/>
      <c r="M106" s="6"/>
      <c r="O106" t="str">
        <f t="shared" si="2"/>
        <v/>
      </c>
      <c r="P106">
        <f t="shared" si="3"/>
        <v>0</v>
      </c>
    </row>
    <row r="107" spans="1:16" ht="37.950000000000003" customHeight="1" x14ac:dyDescent="0.3">
      <c r="A107" s="6"/>
      <c r="B107" s="5"/>
      <c r="C107" s="5"/>
      <c r="D107" s="6"/>
      <c r="E107" s="6"/>
      <c r="F107" s="7"/>
      <c r="G107" s="6"/>
      <c r="H107" s="5"/>
      <c r="I107" s="5"/>
      <c r="J107" s="5"/>
      <c r="K107" s="6"/>
      <c r="L107" s="6"/>
      <c r="M107" s="6"/>
      <c r="O107" t="str">
        <f t="shared" si="2"/>
        <v/>
      </c>
      <c r="P107">
        <f t="shared" si="3"/>
        <v>0</v>
      </c>
    </row>
    <row r="108" spans="1:16" ht="37.950000000000003" customHeight="1" x14ac:dyDescent="0.3">
      <c r="A108" s="6"/>
      <c r="B108" s="5"/>
      <c r="C108" s="5"/>
      <c r="D108" s="6"/>
      <c r="E108" s="6"/>
      <c r="F108" s="7"/>
      <c r="G108" s="6"/>
      <c r="H108" s="5"/>
      <c r="I108" s="5"/>
      <c r="J108" s="5"/>
      <c r="K108" s="6"/>
      <c r="L108" s="6"/>
      <c r="M108" s="6"/>
      <c r="O108" t="str">
        <f t="shared" si="2"/>
        <v/>
      </c>
      <c r="P108">
        <f t="shared" si="3"/>
        <v>0</v>
      </c>
    </row>
    <row r="109" spans="1:16" ht="37.950000000000003" customHeight="1" x14ac:dyDescent="0.3">
      <c r="A109" s="6"/>
      <c r="B109" s="5"/>
      <c r="C109" s="5"/>
      <c r="D109" s="6"/>
      <c r="E109" s="6"/>
      <c r="F109" s="7"/>
      <c r="G109" s="6"/>
      <c r="H109" s="5"/>
      <c r="I109" s="5"/>
      <c r="J109" s="5"/>
      <c r="K109" s="6"/>
      <c r="L109" s="6"/>
      <c r="M109" s="6"/>
      <c r="O109" t="str">
        <f t="shared" si="2"/>
        <v/>
      </c>
      <c r="P109">
        <f t="shared" si="3"/>
        <v>0</v>
      </c>
    </row>
    <row r="110" spans="1:16" ht="37.950000000000003" customHeight="1" x14ac:dyDescent="0.3">
      <c r="A110" s="6"/>
      <c r="B110" s="5"/>
      <c r="C110" s="5"/>
      <c r="D110" s="6"/>
      <c r="E110" s="6"/>
      <c r="F110" s="7"/>
      <c r="G110" s="6"/>
      <c r="H110" s="5"/>
      <c r="I110" s="5"/>
      <c r="J110" s="5"/>
      <c r="K110" s="6"/>
      <c r="L110" s="6"/>
      <c r="M110" s="6"/>
      <c r="O110" t="str">
        <f t="shared" si="2"/>
        <v/>
      </c>
      <c r="P110">
        <f t="shared" si="3"/>
        <v>0</v>
      </c>
    </row>
    <row r="111" spans="1:16" ht="37.950000000000003" customHeight="1" x14ac:dyDescent="0.3">
      <c r="A111" s="6"/>
      <c r="B111" s="5"/>
      <c r="C111" s="5"/>
      <c r="D111" s="6"/>
      <c r="E111" s="6"/>
      <c r="F111" s="7"/>
      <c r="G111" s="6"/>
      <c r="H111" s="5"/>
      <c r="I111" s="5"/>
      <c r="J111" s="5"/>
      <c r="K111" s="6"/>
      <c r="L111" s="6"/>
      <c r="M111" s="6"/>
      <c r="O111" t="str">
        <f t="shared" si="2"/>
        <v/>
      </c>
      <c r="P111">
        <f t="shared" si="3"/>
        <v>0</v>
      </c>
    </row>
    <row r="112" spans="1:16" ht="37.950000000000003" customHeight="1" x14ac:dyDescent="0.3">
      <c r="A112" s="6"/>
      <c r="B112" s="5"/>
      <c r="C112" s="5"/>
      <c r="D112" s="6"/>
      <c r="E112" s="6"/>
      <c r="F112" s="7"/>
      <c r="G112" s="6"/>
      <c r="H112" s="5"/>
      <c r="I112" s="5"/>
      <c r="J112" s="5"/>
      <c r="K112" s="6"/>
      <c r="L112" s="6"/>
      <c r="M112" s="6"/>
      <c r="O112" t="str">
        <f t="shared" si="2"/>
        <v/>
      </c>
      <c r="P112">
        <f t="shared" si="3"/>
        <v>0</v>
      </c>
    </row>
    <row r="113" spans="1:16" ht="37.950000000000003" customHeight="1" x14ac:dyDescent="0.3">
      <c r="A113" s="6"/>
      <c r="B113" s="5"/>
      <c r="C113" s="5"/>
      <c r="D113" s="6"/>
      <c r="E113" s="6"/>
      <c r="F113" s="7"/>
      <c r="G113" s="6"/>
      <c r="H113" s="5"/>
      <c r="I113" s="5"/>
      <c r="J113" s="5"/>
      <c r="K113" s="6"/>
      <c r="L113" s="6"/>
      <c r="M113" s="6"/>
      <c r="O113" t="str">
        <f t="shared" si="2"/>
        <v/>
      </c>
      <c r="P113">
        <f t="shared" si="3"/>
        <v>0</v>
      </c>
    </row>
    <row r="114" spans="1:16" ht="37.950000000000003" customHeight="1" x14ac:dyDescent="0.3">
      <c r="A114" s="6"/>
      <c r="B114" s="5"/>
      <c r="C114" s="5"/>
      <c r="D114" s="6"/>
      <c r="E114" s="6"/>
      <c r="F114" s="7"/>
      <c r="G114" s="6"/>
      <c r="H114" s="5"/>
      <c r="I114" s="5"/>
      <c r="J114" s="5"/>
      <c r="K114" s="6"/>
      <c r="L114" s="6"/>
      <c r="M114" s="6"/>
      <c r="O114" t="str">
        <f t="shared" si="2"/>
        <v/>
      </c>
      <c r="P114">
        <f t="shared" si="3"/>
        <v>0</v>
      </c>
    </row>
    <row r="115" spans="1:16" ht="37.950000000000003" customHeight="1" x14ac:dyDescent="0.3">
      <c r="A115" s="6"/>
      <c r="B115" s="5"/>
      <c r="C115" s="5"/>
      <c r="D115" s="6"/>
      <c r="E115" s="6"/>
      <c r="F115" s="7"/>
      <c r="G115" s="6"/>
      <c r="H115" s="5"/>
      <c r="I115" s="5"/>
      <c r="J115" s="5"/>
      <c r="K115" s="6"/>
      <c r="L115" s="6"/>
      <c r="M115" s="6"/>
      <c r="O115" t="str">
        <f t="shared" si="2"/>
        <v/>
      </c>
      <c r="P115">
        <f t="shared" si="3"/>
        <v>0</v>
      </c>
    </row>
    <row r="116" spans="1:16" ht="37.950000000000003" customHeight="1" x14ac:dyDescent="0.3">
      <c r="A116" s="6"/>
      <c r="B116" s="5"/>
      <c r="C116" s="5"/>
      <c r="D116" s="6"/>
      <c r="E116" s="6"/>
      <c r="F116" s="7"/>
      <c r="G116" s="6"/>
      <c r="H116" s="5"/>
      <c r="I116" s="5"/>
      <c r="J116" s="5"/>
      <c r="K116" s="6"/>
      <c r="L116" s="6"/>
      <c r="M116" s="6"/>
      <c r="O116" t="str">
        <f t="shared" si="2"/>
        <v/>
      </c>
      <c r="P116">
        <f t="shared" si="3"/>
        <v>0</v>
      </c>
    </row>
    <row r="117" spans="1:16" ht="37.950000000000003" customHeight="1" x14ac:dyDescent="0.3">
      <c r="A117" s="6"/>
      <c r="B117" s="5"/>
      <c r="C117" s="5"/>
      <c r="D117" s="6"/>
      <c r="E117" s="6"/>
      <c r="F117" s="7"/>
      <c r="G117" s="6"/>
      <c r="H117" s="5"/>
      <c r="I117" s="5"/>
      <c r="J117" s="5"/>
      <c r="K117" s="6"/>
      <c r="L117" s="6"/>
      <c r="M117" s="6"/>
      <c r="O117" t="str">
        <f t="shared" si="2"/>
        <v/>
      </c>
      <c r="P117">
        <f t="shared" si="3"/>
        <v>0</v>
      </c>
    </row>
    <row r="118" spans="1:16" ht="37.950000000000003" customHeight="1" x14ac:dyDescent="0.3">
      <c r="A118" s="6"/>
      <c r="B118" s="5"/>
      <c r="C118" s="5"/>
      <c r="D118" s="6"/>
      <c r="E118" s="6"/>
      <c r="F118" s="7"/>
      <c r="G118" s="6"/>
      <c r="H118" s="5"/>
      <c r="I118" s="5"/>
      <c r="J118" s="5"/>
      <c r="K118" s="6"/>
      <c r="L118" s="6"/>
      <c r="M118" s="6"/>
      <c r="O118" t="str">
        <f t="shared" si="2"/>
        <v/>
      </c>
      <c r="P118">
        <f t="shared" si="3"/>
        <v>0</v>
      </c>
    </row>
    <row r="119" spans="1:16" ht="37.950000000000003" customHeight="1" x14ac:dyDescent="0.3">
      <c r="A119" s="6"/>
      <c r="B119" s="5"/>
      <c r="C119" s="5"/>
      <c r="D119" s="6"/>
      <c r="E119" s="6"/>
      <c r="F119" s="7"/>
      <c r="G119" s="6"/>
      <c r="H119" s="5"/>
      <c r="I119" s="5"/>
      <c r="J119" s="5"/>
      <c r="K119" s="6"/>
      <c r="L119" s="6"/>
      <c r="M119" s="6"/>
      <c r="O119" t="str">
        <f t="shared" si="2"/>
        <v/>
      </c>
      <c r="P119">
        <f t="shared" si="3"/>
        <v>0</v>
      </c>
    </row>
    <row r="120" spans="1:16" ht="37.950000000000003" customHeight="1" x14ac:dyDescent="0.3">
      <c r="A120" s="6"/>
      <c r="B120" s="5"/>
      <c r="C120" s="5"/>
      <c r="D120" s="6"/>
      <c r="E120" s="6"/>
      <c r="F120" s="7"/>
      <c r="G120" s="6"/>
      <c r="H120" s="5"/>
      <c r="I120" s="5"/>
      <c r="J120" s="5"/>
      <c r="K120" s="6"/>
      <c r="L120" s="6"/>
      <c r="M120" s="6"/>
      <c r="O120" t="str">
        <f t="shared" si="2"/>
        <v/>
      </c>
      <c r="P120">
        <f t="shared" si="3"/>
        <v>0</v>
      </c>
    </row>
    <row r="121" spans="1:16" ht="37.950000000000003" customHeight="1" x14ac:dyDescent="0.3">
      <c r="A121" s="6"/>
      <c r="B121" s="5"/>
      <c r="C121" s="5"/>
      <c r="D121" s="6"/>
      <c r="E121" s="6"/>
      <c r="F121" s="7"/>
      <c r="G121" s="6"/>
      <c r="H121" s="5"/>
      <c r="I121" s="5"/>
      <c r="J121" s="5"/>
      <c r="K121" s="6"/>
      <c r="L121" s="6"/>
      <c r="M121" s="6"/>
      <c r="O121" t="str">
        <f t="shared" si="2"/>
        <v/>
      </c>
      <c r="P121">
        <f t="shared" si="3"/>
        <v>0</v>
      </c>
    </row>
    <row r="122" spans="1:16" ht="37.950000000000003" customHeight="1" x14ac:dyDescent="0.3">
      <c r="A122" s="6"/>
      <c r="B122" s="5"/>
      <c r="C122" s="5"/>
      <c r="D122" s="6"/>
      <c r="E122" s="6"/>
      <c r="F122" s="7"/>
      <c r="G122" s="6"/>
      <c r="H122" s="5"/>
      <c r="I122" s="5"/>
      <c r="J122" s="5"/>
      <c r="K122" s="6"/>
      <c r="L122" s="6"/>
      <c r="M122" s="6"/>
      <c r="O122" t="str">
        <f t="shared" si="2"/>
        <v/>
      </c>
      <c r="P122">
        <f t="shared" si="3"/>
        <v>0</v>
      </c>
    </row>
    <row r="123" spans="1:16" ht="37.950000000000003" customHeight="1" x14ac:dyDescent="0.3">
      <c r="A123" s="6"/>
      <c r="B123" s="5"/>
      <c r="C123" s="5"/>
      <c r="D123" s="6"/>
      <c r="E123" s="6"/>
      <c r="F123" s="7"/>
      <c r="G123" s="6"/>
      <c r="H123" s="5"/>
      <c r="I123" s="5"/>
      <c r="J123" s="5"/>
      <c r="K123" s="6"/>
      <c r="L123" s="6"/>
      <c r="M123" s="6"/>
      <c r="O123" t="str">
        <f t="shared" si="2"/>
        <v/>
      </c>
      <c r="P123">
        <f t="shared" si="3"/>
        <v>0</v>
      </c>
    </row>
    <row r="124" spans="1:16" ht="37.950000000000003" customHeight="1" x14ac:dyDescent="0.3">
      <c r="A124" s="6"/>
      <c r="B124" s="5"/>
      <c r="C124" s="5"/>
      <c r="D124" s="6"/>
      <c r="E124" s="6"/>
      <c r="F124" s="7"/>
      <c r="G124" s="6"/>
      <c r="H124" s="5"/>
      <c r="I124" s="5"/>
      <c r="J124" s="5"/>
      <c r="K124" s="6"/>
      <c r="L124" s="6"/>
      <c r="M124" s="6"/>
      <c r="O124" t="str">
        <f t="shared" si="2"/>
        <v/>
      </c>
      <c r="P124">
        <f t="shared" si="3"/>
        <v>0</v>
      </c>
    </row>
    <row r="125" spans="1:16" ht="37.950000000000003" customHeight="1" x14ac:dyDescent="0.3">
      <c r="A125" s="6"/>
      <c r="B125" s="5"/>
      <c r="C125" s="5"/>
      <c r="D125" s="6"/>
      <c r="E125" s="6"/>
      <c r="F125" s="7"/>
      <c r="G125" s="6"/>
      <c r="H125" s="5"/>
      <c r="I125" s="5"/>
      <c r="J125" s="5"/>
      <c r="K125" s="6"/>
      <c r="L125" s="6"/>
      <c r="M125" s="6"/>
      <c r="O125" t="str">
        <f t="shared" si="2"/>
        <v/>
      </c>
      <c r="P125">
        <f t="shared" si="3"/>
        <v>0</v>
      </c>
    </row>
    <row r="126" spans="1:16" ht="37.950000000000003" customHeight="1" x14ac:dyDescent="0.3">
      <c r="A126" s="6"/>
      <c r="B126" s="5"/>
      <c r="C126" s="5"/>
      <c r="D126" s="6"/>
      <c r="E126" s="6"/>
      <c r="F126" s="7"/>
      <c r="G126" s="6"/>
      <c r="H126" s="5"/>
      <c r="I126" s="5"/>
      <c r="J126" s="5"/>
      <c r="K126" s="6"/>
      <c r="L126" s="6"/>
      <c r="M126" s="6"/>
      <c r="O126" t="str">
        <f t="shared" si="2"/>
        <v/>
      </c>
      <c r="P126">
        <f t="shared" si="3"/>
        <v>0</v>
      </c>
    </row>
    <row r="127" spans="1:16" ht="37.950000000000003" customHeight="1" x14ac:dyDescent="0.3">
      <c r="A127" s="6"/>
      <c r="B127" s="5"/>
      <c r="C127" s="5"/>
      <c r="D127" s="6"/>
      <c r="E127" s="6"/>
      <c r="F127" s="7"/>
      <c r="G127" s="6"/>
      <c r="H127" s="5"/>
      <c r="I127" s="5"/>
      <c r="J127" s="5"/>
      <c r="K127" s="6"/>
      <c r="L127" s="6"/>
      <c r="M127" s="6"/>
      <c r="O127" t="str">
        <f t="shared" si="2"/>
        <v/>
      </c>
      <c r="P127">
        <f t="shared" si="3"/>
        <v>0</v>
      </c>
    </row>
    <row r="128" spans="1:16" ht="37.950000000000003" customHeight="1" x14ac:dyDescent="0.3">
      <c r="A128" s="6"/>
      <c r="B128" s="5"/>
      <c r="C128" s="5"/>
      <c r="D128" s="6"/>
      <c r="E128" s="6"/>
      <c r="F128" s="7"/>
      <c r="G128" s="6"/>
      <c r="H128" s="5"/>
      <c r="I128" s="5"/>
      <c r="J128" s="5"/>
      <c r="K128" s="6"/>
      <c r="L128" s="6"/>
      <c r="M128" s="6"/>
      <c r="O128" t="str">
        <f t="shared" si="2"/>
        <v/>
      </c>
      <c r="P128">
        <f t="shared" si="3"/>
        <v>0</v>
      </c>
    </row>
    <row r="129" spans="1:16" ht="37.950000000000003" customHeight="1" x14ac:dyDescent="0.3">
      <c r="A129" s="6"/>
      <c r="B129" s="5"/>
      <c r="C129" s="5"/>
      <c r="D129" s="6"/>
      <c r="E129" s="6"/>
      <c r="F129" s="7"/>
      <c r="G129" s="6"/>
      <c r="H129" s="5"/>
      <c r="I129" s="5"/>
      <c r="J129" s="5"/>
      <c r="K129" s="6"/>
      <c r="L129" s="6"/>
      <c r="M129" s="6"/>
      <c r="O129" t="str">
        <f t="shared" si="2"/>
        <v/>
      </c>
      <c r="P129">
        <f t="shared" si="3"/>
        <v>0</v>
      </c>
    </row>
    <row r="130" spans="1:16" ht="37.950000000000003" customHeight="1" x14ac:dyDescent="0.3">
      <c r="A130" s="6"/>
      <c r="B130" s="5"/>
      <c r="C130" s="5"/>
      <c r="D130" s="6"/>
      <c r="E130" s="6"/>
      <c r="F130" s="7"/>
      <c r="G130" s="6"/>
      <c r="H130" s="5"/>
      <c r="I130" s="5"/>
      <c r="J130" s="5"/>
      <c r="K130" s="6"/>
      <c r="L130" s="6"/>
      <c r="M130" s="6"/>
      <c r="O130" t="str">
        <f t="shared" si="2"/>
        <v/>
      </c>
      <c r="P130">
        <f t="shared" si="3"/>
        <v>0</v>
      </c>
    </row>
    <row r="131" spans="1:16" ht="37.950000000000003" customHeight="1" x14ac:dyDescent="0.3">
      <c r="A131" s="6"/>
      <c r="B131" s="5"/>
      <c r="C131" s="5"/>
      <c r="D131" s="6"/>
      <c r="E131" s="6"/>
      <c r="F131" s="7"/>
      <c r="G131" s="6"/>
      <c r="H131" s="5"/>
      <c r="I131" s="5"/>
      <c r="J131" s="5"/>
      <c r="K131" s="6"/>
      <c r="L131" s="6"/>
      <c r="M131" s="6"/>
      <c r="O131" t="str">
        <f t="shared" si="2"/>
        <v/>
      </c>
      <c r="P131">
        <f t="shared" si="3"/>
        <v>0</v>
      </c>
    </row>
    <row r="132" spans="1:16" ht="37.950000000000003" customHeight="1" x14ac:dyDescent="0.3">
      <c r="A132" s="6"/>
      <c r="B132" s="5"/>
      <c r="C132" s="5"/>
      <c r="D132" s="6"/>
      <c r="E132" s="6"/>
      <c r="F132" s="7"/>
      <c r="G132" s="6"/>
      <c r="H132" s="5"/>
      <c r="I132" s="5"/>
      <c r="J132" s="5"/>
      <c r="K132" s="6"/>
      <c r="L132" s="6"/>
      <c r="M132" s="6"/>
      <c r="O132" t="str">
        <f t="shared" si="2"/>
        <v/>
      </c>
      <c r="P132">
        <f t="shared" si="3"/>
        <v>0</v>
      </c>
    </row>
    <row r="133" spans="1:16" ht="37.950000000000003" customHeight="1" x14ac:dyDescent="0.3">
      <c r="A133" s="6"/>
      <c r="B133" s="5"/>
      <c r="C133" s="5"/>
      <c r="D133" s="6"/>
      <c r="E133" s="6"/>
      <c r="F133" s="7"/>
      <c r="G133" s="6"/>
      <c r="H133" s="5"/>
      <c r="I133" s="5"/>
      <c r="J133" s="5"/>
      <c r="K133" s="6"/>
      <c r="L133" s="6"/>
      <c r="M133" s="6"/>
      <c r="O133" t="str">
        <f t="shared" ref="O133:O196" si="4">IF($B133="Reading &amp; Writing","secRW",IF($B133="Math","secMath",""))</f>
        <v/>
      </c>
      <c r="P133">
        <f t="shared" ref="P133:P196" si="5">IF(COUNTA(A133:M133)&gt;0,1,0)</f>
        <v>0</v>
      </c>
    </row>
    <row r="134" spans="1:16" ht="37.950000000000003" customHeight="1" x14ac:dyDescent="0.3">
      <c r="A134" s="6"/>
      <c r="B134" s="5"/>
      <c r="C134" s="5"/>
      <c r="D134" s="6"/>
      <c r="E134" s="6"/>
      <c r="F134" s="7"/>
      <c r="G134" s="6"/>
      <c r="H134" s="5"/>
      <c r="I134" s="5"/>
      <c r="J134" s="5"/>
      <c r="K134" s="6"/>
      <c r="L134" s="6"/>
      <c r="M134" s="6"/>
      <c r="O134" t="str">
        <f t="shared" si="4"/>
        <v/>
      </c>
      <c r="P134">
        <f t="shared" si="5"/>
        <v>0</v>
      </c>
    </row>
    <row r="135" spans="1:16" ht="37.950000000000003" customHeight="1" x14ac:dyDescent="0.3">
      <c r="A135" s="6"/>
      <c r="B135" s="5"/>
      <c r="C135" s="5"/>
      <c r="D135" s="6"/>
      <c r="E135" s="6"/>
      <c r="F135" s="7"/>
      <c r="G135" s="6"/>
      <c r="H135" s="5"/>
      <c r="I135" s="5"/>
      <c r="J135" s="5"/>
      <c r="K135" s="6"/>
      <c r="L135" s="6"/>
      <c r="M135" s="6"/>
      <c r="O135" t="str">
        <f t="shared" si="4"/>
        <v/>
      </c>
      <c r="P135">
        <f t="shared" si="5"/>
        <v>0</v>
      </c>
    </row>
    <row r="136" spans="1:16" ht="37.950000000000003" customHeight="1" x14ac:dyDescent="0.3">
      <c r="A136" s="6"/>
      <c r="B136" s="5"/>
      <c r="C136" s="5"/>
      <c r="D136" s="6"/>
      <c r="E136" s="6"/>
      <c r="F136" s="7"/>
      <c r="G136" s="6"/>
      <c r="H136" s="5"/>
      <c r="I136" s="5"/>
      <c r="J136" s="5"/>
      <c r="K136" s="6"/>
      <c r="L136" s="6"/>
      <c r="M136" s="6"/>
      <c r="O136" t="str">
        <f t="shared" si="4"/>
        <v/>
      </c>
      <c r="P136">
        <f t="shared" si="5"/>
        <v>0</v>
      </c>
    </row>
    <row r="137" spans="1:16" ht="37.950000000000003" customHeight="1" x14ac:dyDescent="0.3">
      <c r="A137" s="6"/>
      <c r="B137" s="5"/>
      <c r="C137" s="5"/>
      <c r="D137" s="6"/>
      <c r="E137" s="6"/>
      <c r="F137" s="7"/>
      <c r="G137" s="6"/>
      <c r="H137" s="5"/>
      <c r="I137" s="5"/>
      <c r="J137" s="5"/>
      <c r="K137" s="6"/>
      <c r="L137" s="6"/>
      <c r="M137" s="6"/>
      <c r="O137" t="str">
        <f t="shared" si="4"/>
        <v/>
      </c>
      <c r="P137">
        <f t="shared" si="5"/>
        <v>0</v>
      </c>
    </row>
    <row r="138" spans="1:16" ht="37.950000000000003" customHeight="1" x14ac:dyDescent="0.3">
      <c r="A138" s="6"/>
      <c r="B138" s="5"/>
      <c r="C138" s="5"/>
      <c r="D138" s="6"/>
      <c r="E138" s="6"/>
      <c r="F138" s="7"/>
      <c r="G138" s="6"/>
      <c r="H138" s="5"/>
      <c r="I138" s="5"/>
      <c r="J138" s="5"/>
      <c r="K138" s="6"/>
      <c r="L138" s="6"/>
      <c r="M138" s="6"/>
      <c r="O138" t="str">
        <f t="shared" si="4"/>
        <v/>
      </c>
      <c r="P138">
        <f t="shared" si="5"/>
        <v>0</v>
      </c>
    </row>
    <row r="139" spans="1:16" ht="37.950000000000003" customHeight="1" x14ac:dyDescent="0.3">
      <c r="A139" s="6"/>
      <c r="B139" s="5"/>
      <c r="C139" s="5"/>
      <c r="D139" s="6"/>
      <c r="E139" s="6"/>
      <c r="F139" s="7"/>
      <c r="G139" s="6"/>
      <c r="H139" s="5"/>
      <c r="I139" s="5"/>
      <c r="J139" s="5"/>
      <c r="K139" s="6"/>
      <c r="L139" s="6"/>
      <c r="M139" s="6"/>
      <c r="O139" t="str">
        <f t="shared" si="4"/>
        <v/>
      </c>
      <c r="P139">
        <f t="shared" si="5"/>
        <v>0</v>
      </c>
    </row>
    <row r="140" spans="1:16" ht="37.950000000000003" customHeight="1" x14ac:dyDescent="0.3">
      <c r="A140" s="6"/>
      <c r="B140" s="5"/>
      <c r="C140" s="5"/>
      <c r="D140" s="6"/>
      <c r="E140" s="6"/>
      <c r="F140" s="7"/>
      <c r="G140" s="6"/>
      <c r="H140" s="5"/>
      <c r="I140" s="5"/>
      <c r="J140" s="5"/>
      <c r="K140" s="6"/>
      <c r="L140" s="6"/>
      <c r="M140" s="6"/>
      <c r="O140" t="str">
        <f t="shared" si="4"/>
        <v/>
      </c>
      <c r="P140">
        <f t="shared" si="5"/>
        <v>0</v>
      </c>
    </row>
    <row r="141" spans="1:16" ht="37.950000000000003" customHeight="1" x14ac:dyDescent="0.3">
      <c r="A141" s="6"/>
      <c r="B141" s="5"/>
      <c r="C141" s="5"/>
      <c r="D141" s="6"/>
      <c r="E141" s="6"/>
      <c r="F141" s="7"/>
      <c r="G141" s="6"/>
      <c r="H141" s="5"/>
      <c r="I141" s="5"/>
      <c r="J141" s="5"/>
      <c r="K141" s="6"/>
      <c r="L141" s="6"/>
      <c r="M141" s="6"/>
      <c r="O141" t="str">
        <f t="shared" si="4"/>
        <v/>
      </c>
      <c r="P141">
        <f t="shared" si="5"/>
        <v>0</v>
      </c>
    </row>
    <row r="142" spans="1:16" ht="37.950000000000003" customHeight="1" x14ac:dyDescent="0.3">
      <c r="A142" s="6"/>
      <c r="B142" s="5"/>
      <c r="C142" s="5"/>
      <c r="D142" s="6"/>
      <c r="E142" s="6"/>
      <c r="F142" s="7"/>
      <c r="G142" s="6"/>
      <c r="H142" s="5"/>
      <c r="I142" s="5"/>
      <c r="J142" s="5"/>
      <c r="K142" s="6"/>
      <c r="L142" s="6"/>
      <c r="M142" s="6"/>
      <c r="O142" t="str">
        <f t="shared" si="4"/>
        <v/>
      </c>
      <c r="P142">
        <f t="shared" si="5"/>
        <v>0</v>
      </c>
    </row>
    <row r="143" spans="1:16" ht="37.950000000000003" customHeight="1" x14ac:dyDescent="0.3">
      <c r="A143" s="6"/>
      <c r="B143" s="5"/>
      <c r="C143" s="5"/>
      <c r="D143" s="6"/>
      <c r="E143" s="6"/>
      <c r="F143" s="7"/>
      <c r="G143" s="6"/>
      <c r="H143" s="5"/>
      <c r="I143" s="5"/>
      <c r="J143" s="5"/>
      <c r="K143" s="6"/>
      <c r="L143" s="6"/>
      <c r="M143" s="6"/>
      <c r="O143" t="str">
        <f t="shared" si="4"/>
        <v/>
      </c>
      <c r="P143">
        <f t="shared" si="5"/>
        <v>0</v>
      </c>
    </row>
    <row r="144" spans="1:16" ht="37.950000000000003" customHeight="1" x14ac:dyDescent="0.3">
      <c r="A144" s="6"/>
      <c r="B144" s="5"/>
      <c r="C144" s="5"/>
      <c r="D144" s="6"/>
      <c r="E144" s="6"/>
      <c r="F144" s="7"/>
      <c r="G144" s="6"/>
      <c r="H144" s="5"/>
      <c r="I144" s="5"/>
      <c r="J144" s="5"/>
      <c r="K144" s="6"/>
      <c r="L144" s="6"/>
      <c r="M144" s="6"/>
      <c r="O144" t="str">
        <f t="shared" si="4"/>
        <v/>
      </c>
      <c r="P144">
        <f t="shared" si="5"/>
        <v>0</v>
      </c>
    </row>
    <row r="145" spans="1:16" ht="37.950000000000003" customHeight="1" x14ac:dyDescent="0.3">
      <c r="A145" s="6"/>
      <c r="B145" s="5"/>
      <c r="C145" s="5"/>
      <c r="D145" s="6"/>
      <c r="E145" s="6"/>
      <c r="F145" s="7"/>
      <c r="G145" s="6"/>
      <c r="H145" s="5"/>
      <c r="I145" s="5"/>
      <c r="J145" s="5"/>
      <c r="K145" s="6"/>
      <c r="L145" s="6"/>
      <c r="M145" s="6"/>
      <c r="O145" t="str">
        <f t="shared" si="4"/>
        <v/>
      </c>
      <c r="P145">
        <f t="shared" si="5"/>
        <v>0</v>
      </c>
    </row>
    <row r="146" spans="1:16" ht="37.950000000000003" customHeight="1" x14ac:dyDescent="0.3">
      <c r="A146" s="6"/>
      <c r="B146" s="5"/>
      <c r="C146" s="5"/>
      <c r="D146" s="6"/>
      <c r="E146" s="6"/>
      <c r="F146" s="7"/>
      <c r="G146" s="6"/>
      <c r="H146" s="5"/>
      <c r="I146" s="5"/>
      <c r="J146" s="5"/>
      <c r="K146" s="6"/>
      <c r="L146" s="6"/>
      <c r="M146" s="6"/>
      <c r="O146" t="str">
        <f t="shared" si="4"/>
        <v/>
      </c>
      <c r="P146">
        <f t="shared" si="5"/>
        <v>0</v>
      </c>
    </row>
    <row r="147" spans="1:16" ht="37.950000000000003" customHeight="1" x14ac:dyDescent="0.3">
      <c r="A147" s="6"/>
      <c r="B147" s="5"/>
      <c r="C147" s="5"/>
      <c r="D147" s="6"/>
      <c r="E147" s="6"/>
      <c r="F147" s="7"/>
      <c r="G147" s="6"/>
      <c r="H147" s="5"/>
      <c r="I147" s="5"/>
      <c r="J147" s="5"/>
      <c r="K147" s="6"/>
      <c r="L147" s="6"/>
      <c r="M147" s="6"/>
      <c r="O147" t="str">
        <f t="shared" si="4"/>
        <v/>
      </c>
      <c r="P147">
        <f t="shared" si="5"/>
        <v>0</v>
      </c>
    </row>
    <row r="148" spans="1:16" ht="37.950000000000003" customHeight="1" x14ac:dyDescent="0.3">
      <c r="A148" s="6"/>
      <c r="B148" s="5"/>
      <c r="C148" s="5"/>
      <c r="D148" s="6"/>
      <c r="E148" s="6"/>
      <c r="F148" s="7"/>
      <c r="G148" s="6"/>
      <c r="H148" s="5"/>
      <c r="I148" s="5"/>
      <c r="J148" s="5"/>
      <c r="K148" s="6"/>
      <c r="L148" s="6"/>
      <c r="M148" s="6"/>
      <c r="O148" t="str">
        <f t="shared" si="4"/>
        <v/>
      </c>
      <c r="P148">
        <f t="shared" si="5"/>
        <v>0</v>
      </c>
    </row>
    <row r="149" spans="1:16" ht="37.950000000000003" customHeight="1" x14ac:dyDescent="0.3">
      <c r="A149" s="6"/>
      <c r="B149" s="5"/>
      <c r="C149" s="5"/>
      <c r="D149" s="6"/>
      <c r="E149" s="6"/>
      <c r="F149" s="7"/>
      <c r="G149" s="6"/>
      <c r="H149" s="5"/>
      <c r="I149" s="5"/>
      <c r="J149" s="5"/>
      <c r="K149" s="6"/>
      <c r="L149" s="6"/>
      <c r="M149" s="6"/>
      <c r="O149" t="str">
        <f t="shared" si="4"/>
        <v/>
      </c>
      <c r="P149">
        <f t="shared" si="5"/>
        <v>0</v>
      </c>
    </row>
    <row r="150" spans="1:16" ht="37.950000000000003" customHeight="1" x14ac:dyDescent="0.3">
      <c r="A150" s="6"/>
      <c r="B150" s="5"/>
      <c r="C150" s="5"/>
      <c r="D150" s="6"/>
      <c r="E150" s="6"/>
      <c r="F150" s="7"/>
      <c r="G150" s="6"/>
      <c r="H150" s="5"/>
      <c r="I150" s="5"/>
      <c r="J150" s="5"/>
      <c r="K150" s="6"/>
      <c r="L150" s="6"/>
      <c r="M150" s="6"/>
      <c r="O150" t="str">
        <f t="shared" si="4"/>
        <v/>
      </c>
      <c r="P150">
        <f t="shared" si="5"/>
        <v>0</v>
      </c>
    </row>
    <row r="151" spans="1:16" ht="37.950000000000003" customHeight="1" x14ac:dyDescent="0.3">
      <c r="A151" s="6"/>
      <c r="B151" s="5"/>
      <c r="C151" s="5"/>
      <c r="D151" s="6"/>
      <c r="E151" s="6"/>
      <c r="F151" s="7"/>
      <c r="G151" s="6"/>
      <c r="H151" s="5"/>
      <c r="I151" s="5"/>
      <c r="J151" s="5"/>
      <c r="K151" s="6"/>
      <c r="L151" s="6"/>
      <c r="M151" s="6"/>
      <c r="O151" t="str">
        <f t="shared" si="4"/>
        <v/>
      </c>
      <c r="P151">
        <f t="shared" si="5"/>
        <v>0</v>
      </c>
    </row>
    <row r="152" spans="1:16" ht="37.950000000000003" customHeight="1" x14ac:dyDescent="0.3">
      <c r="A152" s="6"/>
      <c r="B152" s="5"/>
      <c r="C152" s="5"/>
      <c r="D152" s="6"/>
      <c r="E152" s="6"/>
      <c r="F152" s="7"/>
      <c r="G152" s="6"/>
      <c r="H152" s="5"/>
      <c r="I152" s="5"/>
      <c r="J152" s="5"/>
      <c r="K152" s="6"/>
      <c r="L152" s="6"/>
      <c r="M152" s="6"/>
      <c r="O152" t="str">
        <f t="shared" si="4"/>
        <v/>
      </c>
      <c r="P152">
        <f t="shared" si="5"/>
        <v>0</v>
      </c>
    </row>
    <row r="153" spans="1:16" ht="37.950000000000003" customHeight="1" x14ac:dyDescent="0.3">
      <c r="A153" s="6"/>
      <c r="B153" s="5"/>
      <c r="C153" s="5"/>
      <c r="D153" s="6"/>
      <c r="E153" s="6"/>
      <c r="F153" s="7"/>
      <c r="G153" s="6"/>
      <c r="H153" s="5"/>
      <c r="I153" s="5"/>
      <c r="J153" s="5"/>
      <c r="K153" s="6"/>
      <c r="L153" s="6"/>
      <c r="M153" s="6"/>
      <c r="O153" t="str">
        <f t="shared" si="4"/>
        <v/>
      </c>
      <c r="P153">
        <f t="shared" si="5"/>
        <v>0</v>
      </c>
    </row>
    <row r="154" spans="1:16" ht="37.950000000000003" customHeight="1" x14ac:dyDescent="0.3">
      <c r="A154" s="6"/>
      <c r="B154" s="5"/>
      <c r="C154" s="5"/>
      <c r="D154" s="6"/>
      <c r="E154" s="6"/>
      <c r="F154" s="7"/>
      <c r="G154" s="6"/>
      <c r="H154" s="5"/>
      <c r="I154" s="5"/>
      <c r="J154" s="5"/>
      <c r="K154" s="6"/>
      <c r="L154" s="6"/>
      <c r="M154" s="6"/>
      <c r="O154" t="str">
        <f t="shared" si="4"/>
        <v/>
      </c>
      <c r="P154">
        <f t="shared" si="5"/>
        <v>0</v>
      </c>
    </row>
    <row r="155" spans="1:16" ht="37.950000000000003" customHeight="1" x14ac:dyDescent="0.3">
      <c r="A155" s="6"/>
      <c r="B155" s="5"/>
      <c r="C155" s="5"/>
      <c r="D155" s="6"/>
      <c r="E155" s="6"/>
      <c r="F155" s="7"/>
      <c r="G155" s="6"/>
      <c r="H155" s="5"/>
      <c r="I155" s="5"/>
      <c r="J155" s="5"/>
      <c r="K155" s="6"/>
      <c r="L155" s="6"/>
      <c r="M155" s="6"/>
      <c r="O155" t="str">
        <f t="shared" si="4"/>
        <v/>
      </c>
      <c r="P155">
        <f t="shared" si="5"/>
        <v>0</v>
      </c>
    </row>
    <row r="156" spans="1:16" ht="37.950000000000003" customHeight="1" x14ac:dyDescent="0.3">
      <c r="A156" s="6"/>
      <c r="B156" s="5"/>
      <c r="C156" s="5"/>
      <c r="D156" s="6"/>
      <c r="E156" s="6"/>
      <c r="F156" s="7"/>
      <c r="G156" s="6"/>
      <c r="H156" s="5"/>
      <c r="I156" s="5"/>
      <c r="J156" s="5"/>
      <c r="K156" s="6"/>
      <c r="L156" s="6"/>
      <c r="M156" s="6"/>
      <c r="O156" t="str">
        <f t="shared" si="4"/>
        <v/>
      </c>
      <c r="P156">
        <f t="shared" si="5"/>
        <v>0</v>
      </c>
    </row>
    <row r="157" spans="1:16" ht="37.950000000000003" customHeight="1" x14ac:dyDescent="0.3">
      <c r="A157" s="6"/>
      <c r="B157" s="5"/>
      <c r="C157" s="5"/>
      <c r="D157" s="6"/>
      <c r="E157" s="6"/>
      <c r="F157" s="7"/>
      <c r="G157" s="6"/>
      <c r="H157" s="5"/>
      <c r="I157" s="5"/>
      <c r="J157" s="5"/>
      <c r="K157" s="6"/>
      <c r="L157" s="6"/>
      <c r="M157" s="6"/>
      <c r="O157" t="str">
        <f t="shared" si="4"/>
        <v/>
      </c>
      <c r="P157">
        <f t="shared" si="5"/>
        <v>0</v>
      </c>
    </row>
    <row r="158" spans="1:16" ht="37.950000000000003" customHeight="1" x14ac:dyDescent="0.3">
      <c r="A158" s="6"/>
      <c r="B158" s="5"/>
      <c r="C158" s="5"/>
      <c r="D158" s="6"/>
      <c r="E158" s="6"/>
      <c r="F158" s="7"/>
      <c r="G158" s="6"/>
      <c r="H158" s="5"/>
      <c r="I158" s="5"/>
      <c r="J158" s="5"/>
      <c r="K158" s="6"/>
      <c r="L158" s="6"/>
      <c r="M158" s="6"/>
      <c r="O158" t="str">
        <f t="shared" si="4"/>
        <v/>
      </c>
      <c r="P158">
        <f t="shared" si="5"/>
        <v>0</v>
      </c>
    </row>
    <row r="159" spans="1:16" ht="37.950000000000003" customHeight="1" x14ac:dyDescent="0.3">
      <c r="A159" s="6"/>
      <c r="B159" s="5"/>
      <c r="C159" s="5"/>
      <c r="D159" s="6"/>
      <c r="E159" s="6"/>
      <c r="F159" s="7"/>
      <c r="G159" s="6"/>
      <c r="H159" s="5"/>
      <c r="I159" s="5"/>
      <c r="J159" s="5"/>
      <c r="K159" s="6"/>
      <c r="L159" s="6"/>
      <c r="M159" s="6"/>
      <c r="O159" t="str">
        <f t="shared" si="4"/>
        <v/>
      </c>
      <c r="P159">
        <f t="shared" si="5"/>
        <v>0</v>
      </c>
    </row>
    <row r="160" spans="1:16" ht="37.950000000000003" customHeight="1" x14ac:dyDescent="0.3">
      <c r="A160" s="6"/>
      <c r="B160" s="5"/>
      <c r="C160" s="5"/>
      <c r="D160" s="6"/>
      <c r="E160" s="6"/>
      <c r="F160" s="7"/>
      <c r="G160" s="6"/>
      <c r="H160" s="5"/>
      <c r="I160" s="5"/>
      <c r="J160" s="5"/>
      <c r="K160" s="6"/>
      <c r="L160" s="6"/>
      <c r="M160" s="6"/>
      <c r="O160" t="str">
        <f t="shared" si="4"/>
        <v/>
      </c>
      <c r="P160">
        <f t="shared" si="5"/>
        <v>0</v>
      </c>
    </row>
    <row r="161" spans="1:16" ht="37.950000000000003" customHeight="1" x14ac:dyDescent="0.3">
      <c r="A161" s="6"/>
      <c r="B161" s="5"/>
      <c r="C161" s="5"/>
      <c r="D161" s="6"/>
      <c r="E161" s="6"/>
      <c r="F161" s="7"/>
      <c r="G161" s="6"/>
      <c r="H161" s="5"/>
      <c r="I161" s="5"/>
      <c r="J161" s="5"/>
      <c r="K161" s="6"/>
      <c r="L161" s="6"/>
      <c r="M161" s="6"/>
      <c r="O161" t="str">
        <f t="shared" si="4"/>
        <v/>
      </c>
      <c r="P161">
        <f t="shared" si="5"/>
        <v>0</v>
      </c>
    </row>
    <row r="162" spans="1:16" ht="37.950000000000003" customHeight="1" x14ac:dyDescent="0.3">
      <c r="A162" s="6"/>
      <c r="B162" s="5"/>
      <c r="C162" s="5"/>
      <c r="D162" s="6"/>
      <c r="E162" s="6"/>
      <c r="F162" s="7"/>
      <c r="G162" s="6"/>
      <c r="H162" s="5"/>
      <c r="I162" s="5"/>
      <c r="J162" s="5"/>
      <c r="K162" s="6"/>
      <c r="L162" s="6"/>
      <c r="M162" s="6"/>
      <c r="O162" t="str">
        <f t="shared" si="4"/>
        <v/>
      </c>
      <c r="P162">
        <f t="shared" si="5"/>
        <v>0</v>
      </c>
    </row>
    <row r="163" spans="1:16" ht="37.950000000000003" customHeight="1" x14ac:dyDescent="0.3">
      <c r="A163" s="6"/>
      <c r="B163" s="5"/>
      <c r="C163" s="5"/>
      <c r="D163" s="6"/>
      <c r="E163" s="6"/>
      <c r="F163" s="7"/>
      <c r="G163" s="6"/>
      <c r="H163" s="5"/>
      <c r="I163" s="5"/>
      <c r="J163" s="5"/>
      <c r="K163" s="6"/>
      <c r="L163" s="6"/>
      <c r="M163" s="6"/>
      <c r="O163" t="str">
        <f t="shared" si="4"/>
        <v/>
      </c>
      <c r="P163">
        <f t="shared" si="5"/>
        <v>0</v>
      </c>
    </row>
    <row r="164" spans="1:16" ht="37.950000000000003" customHeight="1" x14ac:dyDescent="0.3">
      <c r="A164" s="6"/>
      <c r="B164" s="5"/>
      <c r="C164" s="5"/>
      <c r="D164" s="6"/>
      <c r="E164" s="6"/>
      <c r="F164" s="7"/>
      <c r="G164" s="6"/>
      <c r="H164" s="5"/>
      <c r="I164" s="5"/>
      <c r="J164" s="5"/>
      <c r="K164" s="6"/>
      <c r="L164" s="6"/>
      <c r="M164" s="6"/>
      <c r="O164" t="str">
        <f t="shared" si="4"/>
        <v/>
      </c>
      <c r="P164">
        <f t="shared" si="5"/>
        <v>0</v>
      </c>
    </row>
    <row r="165" spans="1:16" ht="37.950000000000003" customHeight="1" x14ac:dyDescent="0.3">
      <c r="A165" s="6"/>
      <c r="B165" s="5"/>
      <c r="C165" s="5"/>
      <c r="D165" s="6"/>
      <c r="E165" s="6"/>
      <c r="F165" s="7"/>
      <c r="G165" s="6"/>
      <c r="H165" s="5"/>
      <c r="I165" s="5"/>
      <c r="J165" s="5"/>
      <c r="K165" s="6"/>
      <c r="L165" s="6"/>
      <c r="M165" s="6"/>
      <c r="O165" t="str">
        <f t="shared" si="4"/>
        <v/>
      </c>
      <c r="P165">
        <f t="shared" si="5"/>
        <v>0</v>
      </c>
    </row>
    <row r="166" spans="1:16" ht="37.950000000000003" customHeight="1" x14ac:dyDescent="0.3">
      <c r="A166" s="6"/>
      <c r="B166" s="5"/>
      <c r="C166" s="5"/>
      <c r="D166" s="6"/>
      <c r="E166" s="6"/>
      <c r="F166" s="7"/>
      <c r="G166" s="6"/>
      <c r="H166" s="5"/>
      <c r="I166" s="5"/>
      <c r="J166" s="5"/>
      <c r="K166" s="6"/>
      <c r="L166" s="6"/>
      <c r="M166" s="6"/>
      <c r="O166" t="str">
        <f t="shared" si="4"/>
        <v/>
      </c>
      <c r="P166">
        <f t="shared" si="5"/>
        <v>0</v>
      </c>
    </row>
    <row r="167" spans="1:16" ht="37.950000000000003" customHeight="1" x14ac:dyDescent="0.3">
      <c r="A167" s="6"/>
      <c r="B167" s="5"/>
      <c r="C167" s="5"/>
      <c r="D167" s="6"/>
      <c r="E167" s="6"/>
      <c r="F167" s="7"/>
      <c r="G167" s="6"/>
      <c r="H167" s="5"/>
      <c r="I167" s="5"/>
      <c r="J167" s="5"/>
      <c r="K167" s="6"/>
      <c r="L167" s="6"/>
      <c r="M167" s="6"/>
      <c r="O167" t="str">
        <f t="shared" si="4"/>
        <v/>
      </c>
      <c r="P167">
        <f t="shared" si="5"/>
        <v>0</v>
      </c>
    </row>
    <row r="168" spans="1:16" ht="37.950000000000003" customHeight="1" x14ac:dyDescent="0.3">
      <c r="A168" s="6"/>
      <c r="B168" s="5"/>
      <c r="C168" s="5"/>
      <c r="D168" s="6"/>
      <c r="E168" s="6"/>
      <c r="F168" s="7"/>
      <c r="G168" s="6"/>
      <c r="H168" s="5"/>
      <c r="I168" s="5"/>
      <c r="J168" s="5"/>
      <c r="K168" s="6"/>
      <c r="L168" s="6"/>
      <c r="M168" s="6"/>
      <c r="O168" t="str">
        <f t="shared" si="4"/>
        <v/>
      </c>
      <c r="P168">
        <f t="shared" si="5"/>
        <v>0</v>
      </c>
    </row>
    <row r="169" spans="1:16" ht="37.950000000000003" customHeight="1" x14ac:dyDescent="0.3">
      <c r="A169" s="6"/>
      <c r="B169" s="5"/>
      <c r="C169" s="5"/>
      <c r="D169" s="6"/>
      <c r="E169" s="6"/>
      <c r="F169" s="7"/>
      <c r="G169" s="6"/>
      <c r="H169" s="5"/>
      <c r="I169" s="5"/>
      <c r="J169" s="5"/>
      <c r="K169" s="6"/>
      <c r="L169" s="6"/>
      <c r="M169" s="6"/>
      <c r="O169" t="str">
        <f t="shared" si="4"/>
        <v/>
      </c>
      <c r="P169">
        <f t="shared" si="5"/>
        <v>0</v>
      </c>
    </row>
    <row r="170" spans="1:16" ht="37.950000000000003" customHeight="1" x14ac:dyDescent="0.3">
      <c r="A170" s="6"/>
      <c r="B170" s="5"/>
      <c r="C170" s="5"/>
      <c r="D170" s="6"/>
      <c r="E170" s="6"/>
      <c r="F170" s="7"/>
      <c r="G170" s="6"/>
      <c r="H170" s="5"/>
      <c r="I170" s="5"/>
      <c r="J170" s="5"/>
      <c r="K170" s="6"/>
      <c r="L170" s="6"/>
      <c r="M170" s="6"/>
      <c r="O170" t="str">
        <f t="shared" si="4"/>
        <v/>
      </c>
      <c r="P170">
        <f t="shared" si="5"/>
        <v>0</v>
      </c>
    </row>
    <row r="171" spans="1:16" ht="37.950000000000003" customHeight="1" x14ac:dyDescent="0.3">
      <c r="A171" s="6"/>
      <c r="B171" s="5"/>
      <c r="C171" s="5"/>
      <c r="D171" s="6"/>
      <c r="E171" s="6"/>
      <c r="F171" s="7"/>
      <c r="G171" s="6"/>
      <c r="H171" s="5"/>
      <c r="I171" s="5"/>
      <c r="J171" s="5"/>
      <c r="K171" s="6"/>
      <c r="L171" s="6"/>
      <c r="M171" s="6"/>
      <c r="O171" t="str">
        <f t="shared" si="4"/>
        <v/>
      </c>
      <c r="P171">
        <f t="shared" si="5"/>
        <v>0</v>
      </c>
    </row>
    <row r="172" spans="1:16" ht="37.950000000000003" customHeight="1" x14ac:dyDescent="0.3">
      <c r="A172" s="6"/>
      <c r="B172" s="5"/>
      <c r="C172" s="5"/>
      <c r="D172" s="6"/>
      <c r="E172" s="6"/>
      <c r="F172" s="7"/>
      <c r="G172" s="6"/>
      <c r="H172" s="5"/>
      <c r="I172" s="5"/>
      <c r="J172" s="5"/>
      <c r="K172" s="6"/>
      <c r="L172" s="6"/>
      <c r="M172" s="6"/>
      <c r="O172" t="str">
        <f t="shared" si="4"/>
        <v/>
      </c>
      <c r="P172">
        <f t="shared" si="5"/>
        <v>0</v>
      </c>
    </row>
    <row r="173" spans="1:16" ht="37.950000000000003" customHeight="1" x14ac:dyDescent="0.3">
      <c r="A173" s="6"/>
      <c r="B173" s="5"/>
      <c r="C173" s="5"/>
      <c r="D173" s="6"/>
      <c r="E173" s="6"/>
      <c r="F173" s="7"/>
      <c r="G173" s="6"/>
      <c r="H173" s="5"/>
      <c r="I173" s="5"/>
      <c r="J173" s="5"/>
      <c r="K173" s="6"/>
      <c r="L173" s="6"/>
      <c r="M173" s="6"/>
      <c r="O173" t="str">
        <f t="shared" si="4"/>
        <v/>
      </c>
      <c r="P173">
        <f t="shared" si="5"/>
        <v>0</v>
      </c>
    </row>
    <row r="174" spans="1:16" ht="37.950000000000003" customHeight="1" x14ac:dyDescent="0.3">
      <c r="A174" s="6"/>
      <c r="B174" s="5"/>
      <c r="C174" s="5"/>
      <c r="D174" s="6"/>
      <c r="E174" s="6"/>
      <c r="F174" s="7"/>
      <c r="G174" s="6"/>
      <c r="H174" s="5"/>
      <c r="I174" s="5"/>
      <c r="J174" s="5"/>
      <c r="K174" s="6"/>
      <c r="L174" s="6"/>
      <c r="M174" s="6"/>
      <c r="O174" t="str">
        <f t="shared" si="4"/>
        <v/>
      </c>
      <c r="P174">
        <f t="shared" si="5"/>
        <v>0</v>
      </c>
    </row>
    <row r="175" spans="1:16" ht="37.950000000000003" customHeight="1" x14ac:dyDescent="0.3">
      <c r="A175" s="6"/>
      <c r="B175" s="5"/>
      <c r="C175" s="5"/>
      <c r="D175" s="6"/>
      <c r="E175" s="6"/>
      <c r="F175" s="7"/>
      <c r="G175" s="6"/>
      <c r="H175" s="5"/>
      <c r="I175" s="5"/>
      <c r="J175" s="5"/>
      <c r="K175" s="6"/>
      <c r="L175" s="6"/>
      <c r="M175" s="6"/>
      <c r="O175" t="str">
        <f t="shared" si="4"/>
        <v/>
      </c>
      <c r="P175">
        <f t="shared" si="5"/>
        <v>0</v>
      </c>
    </row>
    <row r="176" spans="1:16" ht="37.950000000000003" customHeight="1" x14ac:dyDescent="0.3">
      <c r="A176" s="6"/>
      <c r="B176" s="5"/>
      <c r="C176" s="5"/>
      <c r="D176" s="6"/>
      <c r="E176" s="6"/>
      <c r="F176" s="7"/>
      <c r="G176" s="6"/>
      <c r="H176" s="5"/>
      <c r="I176" s="5"/>
      <c r="J176" s="5"/>
      <c r="K176" s="6"/>
      <c r="L176" s="6"/>
      <c r="M176" s="6"/>
      <c r="O176" t="str">
        <f t="shared" si="4"/>
        <v/>
      </c>
      <c r="P176">
        <f t="shared" si="5"/>
        <v>0</v>
      </c>
    </row>
    <row r="177" spans="1:16" ht="37.950000000000003" customHeight="1" x14ac:dyDescent="0.3">
      <c r="A177" s="6"/>
      <c r="B177" s="5"/>
      <c r="C177" s="5"/>
      <c r="D177" s="6"/>
      <c r="E177" s="6"/>
      <c r="F177" s="7"/>
      <c r="G177" s="6"/>
      <c r="H177" s="5"/>
      <c r="I177" s="5"/>
      <c r="J177" s="5"/>
      <c r="K177" s="6"/>
      <c r="L177" s="6"/>
      <c r="M177" s="6"/>
      <c r="O177" t="str">
        <f t="shared" si="4"/>
        <v/>
      </c>
      <c r="P177">
        <f t="shared" si="5"/>
        <v>0</v>
      </c>
    </row>
    <row r="178" spans="1:16" ht="37.950000000000003" customHeight="1" x14ac:dyDescent="0.3">
      <c r="A178" s="6"/>
      <c r="B178" s="5"/>
      <c r="C178" s="5"/>
      <c r="D178" s="6"/>
      <c r="E178" s="6"/>
      <c r="F178" s="7"/>
      <c r="G178" s="6"/>
      <c r="H178" s="5"/>
      <c r="I178" s="5"/>
      <c r="J178" s="5"/>
      <c r="K178" s="6"/>
      <c r="L178" s="6"/>
      <c r="M178" s="6"/>
      <c r="O178" t="str">
        <f t="shared" si="4"/>
        <v/>
      </c>
      <c r="P178">
        <f t="shared" si="5"/>
        <v>0</v>
      </c>
    </row>
    <row r="179" spans="1:16" ht="37.950000000000003" customHeight="1" x14ac:dyDescent="0.3">
      <c r="A179" s="6"/>
      <c r="B179" s="5"/>
      <c r="C179" s="5"/>
      <c r="D179" s="6"/>
      <c r="E179" s="6"/>
      <c r="F179" s="7"/>
      <c r="G179" s="6"/>
      <c r="H179" s="5"/>
      <c r="I179" s="5"/>
      <c r="J179" s="5"/>
      <c r="K179" s="6"/>
      <c r="L179" s="6"/>
      <c r="M179" s="6"/>
      <c r="O179" t="str">
        <f t="shared" si="4"/>
        <v/>
      </c>
      <c r="P179">
        <f t="shared" si="5"/>
        <v>0</v>
      </c>
    </row>
    <row r="180" spans="1:16" ht="37.950000000000003" customHeight="1" x14ac:dyDescent="0.3">
      <c r="A180" s="6"/>
      <c r="B180" s="5"/>
      <c r="C180" s="5"/>
      <c r="D180" s="6"/>
      <c r="E180" s="6"/>
      <c r="F180" s="7"/>
      <c r="G180" s="6"/>
      <c r="H180" s="5"/>
      <c r="I180" s="5"/>
      <c r="J180" s="5"/>
      <c r="K180" s="6"/>
      <c r="L180" s="6"/>
      <c r="M180" s="6"/>
      <c r="O180" t="str">
        <f t="shared" si="4"/>
        <v/>
      </c>
      <c r="P180">
        <f t="shared" si="5"/>
        <v>0</v>
      </c>
    </row>
    <row r="181" spans="1:16" ht="37.950000000000003" customHeight="1" x14ac:dyDescent="0.3">
      <c r="A181" s="6"/>
      <c r="B181" s="5"/>
      <c r="C181" s="5"/>
      <c r="D181" s="6"/>
      <c r="E181" s="6"/>
      <c r="F181" s="7"/>
      <c r="G181" s="6"/>
      <c r="H181" s="5"/>
      <c r="I181" s="5"/>
      <c r="J181" s="5"/>
      <c r="K181" s="6"/>
      <c r="L181" s="6"/>
      <c r="M181" s="6"/>
      <c r="O181" t="str">
        <f t="shared" si="4"/>
        <v/>
      </c>
      <c r="P181">
        <f t="shared" si="5"/>
        <v>0</v>
      </c>
    </row>
    <row r="182" spans="1:16" ht="37.950000000000003" customHeight="1" x14ac:dyDescent="0.3">
      <c r="A182" s="6"/>
      <c r="B182" s="5"/>
      <c r="C182" s="5"/>
      <c r="D182" s="6"/>
      <c r="E182" s="6"/>
      <c r="F182" s="7"/>
      <c r="G182" s="6"/>
      <c r="H182" s="5"/>
      <c r="I182" s="5"/>
      <c r="J182" s="5"/>
      <c r="K182" s="6"/>
      <c r="L182" s="6"/>
      <c r="M182" s="6"/>
      <c r="O182" t="str">
        <f t="shared" si="4"/>
        <v/>
      </c>
      <c r="P182">
        <f t="shared" si="5"/>
        <v>0</v>
      </c>
    </row>
    <row r="183" spans="1:16" ht="37.950000000000003" customHeight="1" x14ac:dyDescent="0.3">
      <c r="A183" s="6"/>
      <c r="B183" s="5"/>
      <c r="C183" s="5"/>
      <c r="D183" s="6"/>
      <c r="E183" s="6"/>
      <c r="F183" s="7"/>
      <c r="G183" s="6"/>
      <c r="H183" s="5"/>
      <c r="I183" s="5"/>
      <c r="J183" s="5"/>
      <c r="K183" s="6"/>
      <c r="L183" s="6"/>
      <c r="M183" s="6"/>
      <c r="O183" t="str">
        <f t="shared" si="4"/>
        <v/>
      </c>
      <c r="P183">
        <f t="shared" si="5"/>
        <v>0</v>
      </c>
    </row>
    <row r="184" spans="1:16" ht="37.950000000000003" customHeight="1" x14ac:dyDescent="0.3">
      <c r="A184" s="6"/>
      <c r="B184" s="5"/>
      <c r="C184" s="5"/>
      <c r="D184" s="6"/>
      <c r="E184" s="6"/>
      <c r="F184" s="7"/>
      <c r="G184" s="6"/>
      <c r="H184" s="5"/>
      <c r="I184" s="5"/>
      <c r="J184" s="5"/>
      <c r="K184" s="6"/>
      <c r="L184" s="6"/>
      <c r="M184" s="6"/>
      <c r="O184" t="str">
        <f t="shared" si="4"/>
        <v/>
      </c>
      <c r="P184">
        <f t="shared" si="5"/>
        <v>0</v>
      </c>
    </row>
    <row r="185" spans="1:16" ht="37.950000000000003" customHeight="1" x14ac:dyDescent="0.3">
      <c r="A185" s="6"/>
      <c r="B185" s="5"/>
      <c r="C185" s="5"/>
      <c r="D185" s="6"/>
      <c r="E185" s="6"/>
      <c r="F185" s="7"/>
      <c r="G185" s="6"/>
      <c r="H185" s="5"/>
      <c r="I185" s="5"/>
      <c r="J185" s="5"/>
      <c r="K185" s="6"/>
      <c r="L185" s="6"/>
      <c r="M185" s="6"/>
      <c r="O185" t="str">
        <f t="shared" si="4"/>
        <v/>
      </c>
      <c r="P185">
        <f t="shared" si="5"/>
        <v>0</v>
      </c>
    </row>
    <row r="186" spans="1:16" ht="37.950000000000003" customHeight="1" x14ac:dyDescent="0.3">
      <c r="A186" s="6"/>
      <c r="B186" s="5"/>
      <c r="C186" s="5"/>
      <c r="D186" s="6"/>
      <c r="E186" s="6"/>
      <c r="F186" s="7"/>
      <c r="G186" s="6"/>
      <c r="H186" s="5"/>
      <c r="I186" s="5"/>
      <c r="J186" s="5"/>
      <c r="K186" s="6"/>
      <c r="L186" s="6"/>
      <c r="M186" s="6"/>
      <c r="O186" t="str">
        <f t="shared" si="4"/>
        <v/>
      </c>
      <c r="P186">
        <f t="shared" si="5"/>
        <v>0</v>
      </c>
    </row>
    <row r="187" spans="1:16" ht="37.950000000000003" customHeight="1" x14ac:dyDescent="0.3">
      <c r="A187" s="6"/>
      <c r="B187" s="5"/>
      <c r="C187" s="5"/>
      <c r="D187" s="6"/>
      <c r="E187" s="6"/>
      <c r="F187" s="7"/>
      <c r="G187" s="6"/>
      <c r="H187" s="5"/>
      <c r="I187" s="5"/>
      <c r="J187" s="5"/>
      <c r="K187" s="6"/>
      <c r="L187" s="6"/>
      <c r="M187" s="6"/>
      <c r="O187" t="str">
        <f t="shared" si="4"/>
        <v/>
      </c>
      <c r="P187">
        <f t="shared" si="5"/>
        <v>0</v>
      </c>
    </row>
    <row r="188" spans="1:16" ht="37.950000000000003" customHeight="1" x14ac:dyDescent="0.3">
      <c r="A188" s="6"/>
      <c r="B188" s="5"/>
      <c r="C188" s="5"/>
      <c r="D188" s="6"/>
      <c r="E188" s="6"/>
      <c r="F188" s="7"/>
      <c r="G188" s="6"/>
      <c r="H188" s="5"/>
      <c r="I188" s="5"/>
      <c r="J188" s="5"/>
      <c r="K188" s="6"/>
      <c r="L188" s="6"/>
      <c r="M188" s="6"/>
      <c r="O188" t="str">
        <f t="shared" si="4"/>
        <v/>
      </c>
      <c r="P188">
        <f t="shared" si="5"/>
        <v>0</v>
      </c>
    </row>
    <row r="189" spans="1:16" ht="37.950000000000003" customHeight="1" x14ac:dyDescent="0.3">
      <c r="A189" s="6"/>
      <c r="B189" s="5"/>
      <c r="C189" s="5"/>
      <c r="D189" s="6"/>
      <c r="E189" s="6"/>
      <c r="F189" s="7"/>
      <c r="G189" s="6"/>
      <c r="H189" s="5"/>
      <c r="I189" s="5"/>
      <c r="J189" s="5"/>
      <c r="K189" s="6"/>
      <c r="L189" s="6"/>
      <c r="M189" s="6"/>
      <c r="O189" t="str">
        <f t="shared" si="4"/>
        <v/>
      </c>
      <c r="P189">
        <f t="shared" si="5"/>
        <v>0</v>
      </c>
    </row>
    <row r="190" spans="1:16" ht="37.950000000000003" customHeight="1" x14ac:dyDescent="0.3">
      <c r="A190" s="6"/>
      <c r="B190" s="5"/>
      <c r="C190" s="5"/>
      <c r="D190" s="6"/>
      <c r="E190" s="6"/>
      <c r="F190" s="7"/>
      <c r="G190" s="6"/>
      <c r="H190" s="5"/>
      <c r="I190" s="5"/>
      <c r="J190" s="5"/>
      <c r="K190" s="6"/>
      <c r="L190" s="6"/>
      <c r="M190" s="6"/>
      <c r="O190" t="str">
        <f t="shared" si="4"/>
        <v/>
      </c>
      <c r="P190">
        <f t="shared" si="5"/>
        <v>0</v>
      </c>
    </row>
    <row r="191" spans="1:16" ht="37.950000000000003" customHeight="1" x14ac:dyDescent="0.3">
      <c r="A191" s="6"/>
      <c r="B191" s="5"/>
      <c r="C191" s="5"/>
      <c r="D191" s="6"/>
      <c r="E191" s="6"/>
      <c r="F191" s="7"/>
      <c r="G191" s="6"/>
      <c r="H191" s="5"/>
      <c r="I191" s="5"/>
      <c r="J191" s="5"/>
      <c r="K191" s="6"/>
      <c r="L191" s="6"/>
      <c r="M191" s="6"/>
      <c r="O191" t="str">
        <f t="shared" si="4"/>
        <v/>
      </c>
      <c r="P191">
        <f t="shared" si="5"/>
        <v>0</v>
      </c>
    </row>
    <row r="192" spans="1:16" ht="37.950000000000003" customHeight="1" x14ac:dyDescent="0.3">
      <c r="A192" s="6"/>
      <c r="B192" s="5"/>
      <c r="C192" s="5"/>
      <c r="D192" s="6"/>
      <c r="E192" s="6"/>
      <c r="F192" s="7"/>
      <c r="G192" s="6"/>
      <c r="H192" s="5"/>
      <c r="I192" s="5"/>
      <c r="J192" s="5"/>
      <c r="K192" s="6"/>
      <c r="L192" s="6"/>
      <c r="M192" s="6"/>
      <c r="O192" t="str">
        <f t="shared" si="4"/>
        <v/>
      </c>
      <c r="P192">
        <f t="shared" si="5"/>
        <v>0</v>
      </c>
    </row>
    <row r="193" spans="1:16" ht="37.950000000000003" customHeight="1" x14ac:dyDescent="0.3">
      <c r="A193" s="6"/>
      <c r="B193" s="5"/>
      <c r="C193" s="5"/>
      <c r="D193" s="6"/>
      <c r="E193" s="6"/>
      <c r="F193" s="7"/>
      <c r="G193" s="6"/>
      <c r="H193" s="5"/>
      <c r="I193" s="5"/>
      <c r="J193" s="5"/>
      <c r="K193" s="6"/>
      <c r="L193" s="6"/>
      <c r="M193" s="6"/>
      <c r="O193" t="str">
        <f t="shared" si="4"/>
        <v/>
      </c>
      <c r="P193">
        <f t="shared" si="5"/>
        <v>0</v>
      </c>
    </row>
    <row r="194" spans="1:16" ht="37.950000000000003" customHeight="1" x14ac:dyDescent="0.3">
      <c r="A194" s="6"/>
      <c r="B194" s="5"/>
      <c r="C194" s="5"/>
      <c r="D194" s="6"/>
      <c r="E194" s="6"/>
      <c r="F194" s="7"/>
      <c r="G194" s="6"/>
      <c r="H194" s="5"/>
      <c r="I194" s="5"/>
      <c r="J194" s="5"/>
      <c r="K194" s="6"/>
      <c r="L194" s="6"/>
      <c r="M194" s="6"/>
      <c r="O194" t="str">
        <f t="shared" si="4"/>
        <v/>
      </c>
      <c r="P194">
        <f t="shared" si="5"/>
        <v>0</v>
      </c>
    </row>
    <row r="195" spans="1:16" ht="37.950000000000003" customHeight="1" x14ac:dyDescent="0.3">
      <c r="A195" s="6"/>
      <c r="B195" s="5"/>
      <c r="C195" s="5"/>
      <c r="D195" s="6"/>
      <c r="E195" s="6"/>
      <c r="F195" s="7"/>
      <c r="G195" s="6"/>
      <c r="H195" s="5"/>
      <c r="I195" s="5"/>
      <c r="J195" s="5"/>
      <c r="K195" s="6"/>
      <c r="L195" s="6"/>
      <c r="M195" s="6"/>
      <c r="O195" t="str">
        <f t="shared" si="4"/>
        <v/>
      </c>
      <c r="P195">
        <f t="shared" si="5"/>
        <v>0</v>
      </c>
    </row>
    <row r="196" spans="1:16" ht="37.950000000000003" customHeight="1" x14ac:dyDescent="0.3">
      <c r="A196" s="6"/>
      <c r="B196" s="5"/>
      <c r="C196" s="5"/>
      <c r="D196" s="6"/>
      <c r="E196" s="6"/>
      <c r="F196" s="7"/>
      <c r="G196" s="6"/>
      <c r="H196" s="5"/>
      <c r="I196" s="5"/>
      <c r="J196" s="5"/>
      <c r="K196" s="6"/>
      <c r="L196" s="6"/>
      <c r="M196" s="6"/>
      <c r="O196" t="str">
        <f t="shared" si="4"/>
        <v/>
      </c>
      <c r="P196">
        <f t="shared" si="5"/>
        <v>0</v>
      </c>
    </row>
    <row r="197" spans="1:16" ht="37.950000000000003" customHeight="1" x14ac:dyDescent="0.3">
      <c r="A197" s="6"/>
      <c r="B197" s="5"/>
      <c r="C197" s="5"/>
      <c r="D197" s="6"/>
      <c r="E197" s="6"/>
      <c r="F197" s="7"/>
      <c r="G197" s="6"/>
      <c r="H197" s="5"/>
      <c r="I197" s="5"/>
      <c r="J197" s="5"/>
      <c r="K197" s="6"/>
      <c r="L197" s="6"/>
      <c r="M197" s="6"/>
      <c r="O197" t="str">
        <f t="shared" ref="O197:O260" si="6">IF($B197="Reading &amp; Writing","secRW",IF($B197="Math","secMath",""))</f>
        <v/>
      </c>
      <c r="P197">
        <f t="shared" ref="P197:P260" si="7">IF(COUNTA(A197:M197)&gt;0,1,0)</f>
        <v>0</v>
      </c>
    </row>
    <row r="198" spans="1:16" ht="37.950000000000003" customHeight="1" x14ac:dyDescent="0.3">
      <c r="A198" s="6"/>
      <c r="B198" s="5"/>
      <c r="C198" s="5"/>
      <c r="D198" s="6"/>
      <c r="E198" s="6"/>
      <c r="F198" s="7"/>
      <c r="G198" s="6"/>
      <c r="H198" s="5"/>
      <c r="I198" s="5"/>
      <c r="J198" s="5"/>
      <c r="K198" s="6"/>
      <c r="L198" s="6"/>
      <c r="M198" s="6"/>
      <c r="O198" t="str">
        <f t="shared" si="6"/>
        <v/>
      </c>
      <c r="P198">
        <f t="shared" si="7"/>
        <v>0</v>
      </c>
    </row>
    <row r="199" spans="1:16" ht="37.950000000000003" customHeight="1" x14ac:dyDescent="0.3">
      <c r="A199" s="6"/>
      <c r="B199" s="5"/>
      <c r="C199" s="5"/>
      <c r="D199" s="6"/>
      <c r="E199" s="6"/>
      <c r="F199" s="7"/>
      <c r="G199" s="6"/>
      <c r="H199" s="5"/>
      <c r="I199" s="5"/>
      <c r="J199" s="5"/>
      <c r="K199" s="6"/>
      <c r="L199" s="6"/>
      <c r="M199" s="6"/>
      <c r="O199" t="str">
        <f t="shared" si="6"/>
        <v/>
      </c>
      <c r="P199">
        <f t="shared" si="7"/>
        <v>0</v>
      </c>
    </row>
    <row r="200" spans="1:16" ht="37.950000000000003" customHeight="1" x14ac:dyDescent="0.3">
      <c r="A200" s="6"/>
      <c r="B200" s="5"/>
      <c r="C200" s="5"/>
      <c r="D200" s="6"/>
      <c r="E200" s="6"/>
      <c r="F200" s="7"/>
      <c r="G200" s="6"/>
      <c r="H200" s="5"/>
      <c r="I200" s="5"/>
      <c r="J200" s="5"/>
      <c r="K200" s="6"/>
      <c r="L200" s="6"/>
      <c r="M200" s="6"/>
      <c r="O200" t="str">
        <f t="shared" si="6"/>
        <v/>
      </c>
      <c r="P200">
        <f t="shared" si="7"/>
        <v>0</v>
      </c>
    </row>
    <row r="201" spans="1:16" ht="37.950000000000003" customHeight="1" x14ac:dyDescent="0.3">
      <c r="A201" s="6"/>
      <c r="B201" s="5"/>
      <c r="C201" s="5"/>
      <c r="D201" s="6"/>
      <c r="E201" s="6"/>
      <c r="F201" s="7"/>
      <c r="G201" s="6"/>
      <c r="H201" s="5"/>
      <c r="I201" s="5"/>
      <c r="J201" s="5"/>
      <c r="K201" s="6"/>
      <c r="L201" s="6"/>
      <c r="M201" s="6"/>
      <c r="O201" t="str">
        <f t="shared" si="6"/>
        <v/>
      </c>
      <c r="P201">
        <f t="shared" si="7"/>
        <v>0</v>
      </c>
    </row>
    <row r="202" spans="1:16" ht="37.950000000000003" customHeight="1" x14ac:dyDescent="0.3">
      <c r="A202" s="6"/>
      <c r="B202" s="5"/>
      <c r="C202" s="5"/>
      <c r="D202" s="6"/>
      <c r="E202" s="6"/>
      <c r="F202" s="7"/>
      <c r="G202" s="6"/>
      <c r="H202" s="5"/>
      <c r="I202" s="5"/>
      <c r="J202" s="5"/>
      <c r="K202" s="6"/>
      <c r="L202" s="6"/>
      <c r="M202" s="6"/>
      <c r="O202" t="str">
        <f t="shared" si="6"/>
        <v/>
      </c>
      <c r="P202">
        <f t="shared" si="7"/>
        <v>0</v>
      </c>
    </row>
    <row r="203" spans="1:16" ht="37.950000000000003" customHeight="1" x14ac:dyDescent="0.3">
      <c r="A203" s="6"/>
      <c r="B203" s="5"/>
      <c r="C203" s="5"/>
      <c r="D203" s="6"/>
      <c r="E203" s="6"/>
      <c r="F203" s="7"/>
      <c r="G203" s="6"/>
      <c r="H203" s="5"/>
      <c r="I203" s="5"/>
      <c r="J203" s="5"/>
      <c r="K203" s="6"/>
      <c r="L203" s="6"/>
      <c r="M203" s="6"/>
      <c r="O203" t="str">
        <f t="shared" si="6"/>
        <v/>
      </c>
      <c r="P203">
        <f t="shared" si="7"/>
        <v>0</v>
      </c>
    </row>
    <row r="204" spans="1:16" ht="37.950000000000003" customHeight="1" x14ac:dyDescent="0.3">
      <c r="A204" s="6"/>
      <c r="B204" s="5"/>
      <c r="C204" s="5"/>
      <c r="D204" s="6"/>
      <c r="E204" s="6"/>
      <c r="F204" s="7"/>
      <c r="G204" s="6"/>
      <c r="H204" s="5"/>
      <c r="I204" s="5"/>
      <c r="J204" s="5"/>
      <c r="K204" s="6"/>
      <c r="L204" s="6"/>
      <c r="M204" s="6"/>
      <c r="O204" t="str">
        <f t="shared" si="6"/>
        <v/>
      </c>
      <c r="P204">
        <f t="shared" si="7"/>
        <v>0</v>
      </c>
    </row>
    <row r="205" spans="1:16" ht="37.950000000000003" customHeight="1" x14ac:dyDescent="0.3">
      <c r="A205" s="6"/>
      <c r="B205" s="5"/>
      <c r="C205" s="5"/>
      <c r="D205" s="6"/>
      <c r="E205" s="6"/>
      <c r="F205" s="7"/>
      <c r="G205" s="6"/>
      <c r="H205" s="5"/>
      <c r="I205" s="5"/>
      <c r="J205" s="5"/>
      <c r="K205" s="6"/>
      <c r="L205" s="6"/>
      <c r="M205" s="6"/>
      <c r="O205" t="str">
        <f t="shared" si="6"/>
        <v/>
      </c>
      <c r="P205">
        <f t="shared" si="7"/>
        <v>0</v>
      </c>
    </row>
    <row r="206" spans="1:16" ht="37.950000000000003" customHeight="1" x14ac:dyDescent="0.3">
      <c r="A206" s="6"/>
      <c r="B206" s="5"/>
      <c r="C206" s="5"/>
      <c r="D206" s="6"/>
      <c r="E206" s="6"/>
      <c r="F206" s="7"/>
      <c r="G206" s="6"/>
      <c r="H206" s="5"/>
      <c r="I206" s="5"/>
      <c r="J206" s="5"/>
      <c r="K206" s="6"/>
      <c r="L206" s="6"/>
      <c r="M206" s="6"/>
      <c r="O206" t="str">
        <f t="shared" si="6"/>
        <v/>
      </c>
      <c r="P206">
        <f t="shared" si="7"/>
        <v>0</v>
      </c>
    </row>
    <row r="207" spans="1:16" ht="37.950000000000003" customHeight="1" x14ac:dyDescent="0.3">
      <c r="A207" s="6"/>
      <c r="B207" s="5"/>
      <c r="C207" s="5"/>
      <c r="D207" s="6"/>
      <c r="E207" s="6"/>
      <c r="F207" s="7"/>
      <c r="G207" s="6"/>
      <c r="H207" s="5"/>
      <c r="I207" s="5"/>
      <c r="J207" s="5"/>
      <c r="K207" s="6"/>
      <c r="L207" s="6"/>
      <c r="M207" s="6"/>
      <c r="O207" t="str">
        <f t="shared" si="6"/>
        <v/>
      </c>
      <c r="P207">
        <f t="shared" si="7"/>
        <v>0</v>
      </c>
    </row>
    <row r="208" spans="1:16" ht="37.950000000000003" customHeight="1" x14ac:dyDescent="0.3">
      <c r="A208" s="6"/>
      <c r="B208" s="5"/>
      <c r="C208" s="5"/>
      <c r="D208" s="6"/>
      <c r="E208" s="6"/>
      <c r="F208" s="7"/>
      <c r="G208" s="6"/>
      <c r="H208" s="5"/>
      <c r="I208" s="5"/>
      <c r="J208" s="5"/>
      <c r="K208" s="6"/>
      <c r="L208" s="6"/>
      <c r="M208" s="6"/>
      <c r="O208" t="str">
        <f t="shared" si="6"/>
        <v/>
      </c>
      <c r="P208">
        <f t="shared" si="7"/>
        <v>0</v>
      </c>
    </row>
    <row r="209" spans="1:16" ht="37.950000000000003" customHeight="1" x14ac:dyDescent="0.3">
      <c r="A209" s="6"/>
      <c r="B209" s="5"/>
      <c r="C209" s="5"/>
      <c r="D209" s="6"/>
      <c r="E209" s="6"/>
      <c r="F209" s="7"/>
      <c r="G209" s="6"/>
      <c r="H209" s="5"/>
      <c r="I209" s="5"/>
      <c r="J209" s="5"/>
      <c r="K209" s="6"/>
      <c r="L209" s="6"/>
      <c r="M209" s="6"/>
      <c r="O209" t="str">
        <f t="shared" si="6"/>
        <v/>
      </c>
      <c r="P209">
        <f t="shared" si="7"/>
        <v>0</v>
      </c>
    </row>
    <row r="210" spans="1:16" ht="37.950000000000003" customHeight="1" x14ac:dyDescent="0.3">
      <c r="A210" s="6"/>
      <c r="B210" s="5"/>
      <c r="C210" s="5"/>
      <c r="D210" s="6"/>
      <c r="E210" s="6"/>
      <c r="F210" s="7"/>
      <c r="G210" s="6"/>
      <c r="H210" s="5"/>
      <c r="I210" s="5"/>
      <c r="J210" s="5"/>
      <c r="K210" s="6"/>
      <c r="L210" s="6"/>
      <c r="M210" s="6"/>
      <c r="O210" t="str">
        <f t="shared" si="6"/>
        <v/>
      </c>
      <c r="P210">
        <f t="shared" si="7"/>
        <v>0</v>
      </c>
    </row>
    <row r="211" spans="1:16" ht="37.950000000000003" customHeight="1" x14ac:dyDescent="0.3">
      <c r="A211" s="6"/>
      <c r="B211" s="5"/>
      <c r="C211" s="5"/>
      <c r="D211" s="6"/>
      <c r="E211" s="6"/>
      <c r="F211" s="7"/>
      <c r="G211" s="6"/>
      <c r="H211" s="5"/>
      <c r="I211" s="5"/>
      <c r="J211" s="5"/>
      <c r="K211" s="6"/>
      <c r="L211" s="6"/>
      <c r="M211" s="6"/>
      <c r="O211" t="str">
        <f t="shared" si="6"/>
        <v/>
      </c>
      <c r="P211">
        <f t="shared" si="7"/>
        <v>0</v>
      </c>
    </row>
    <row r="212" spans="1:16" ht="37.950000000000003" customHeight="1" x14ac:dyDescent="0.3">
      <c r="A212" s="6"/>
      <c r="B212" s="5"/>
      <c r="C212" s="5"/>
      <c r="D212" s="6"/>
      <c r="E212" s="6"/>
      <c r="F212" s="7"/>
      <c r="G212" s="6"/>
      <c r="H212" s="5"/>
      <c r="I212" s="5"/>
      <c r="J212" s="5"/>
      <c r="K212" s="6"/>
      <c r="L212" s="6"/>
      <c r="M212" s="6"/>
      <c r="O212" t="str">
        <f t="shared" si="6"/>
        <v/>
      </c>
      <c r="P212">
        <f t="shared" si="7"/>
        <v>0</v>
      </c>
    </row>
    <row r="213" spans="1:16" ht="37.950000000000003" customHeight="1" x14ac:dyDescent="0.3">
      <c r="A213" s="6"/>
      <c r="B213" s="5"/>
      <c r="C213" s="5"/>
      <c r="D213" s="6"/>
      <c r="E213" s="6"/>
      <c r="F213" s="7"/>
      <c r="G213" s="6"/>
      <c r="H213" s="5"/>
      <c r="I213" s="5"/>
      <c r="J213" s="5"/>
      <c r="K213" s="6"/>
      <c r="L213" s="6"/>
      <c r="M213" s="6"/>
      <c r="O213" t="str">
        <f t="shared" si="6"/>
        <v/>
      </c>
      <c r="P213">
        <f t="shared" si="7"/>
        <v>0</v>
      </c>
    </row>
    <row r="214" spans="1:16" ht="37.950000000000003" customHeight="1" x14ac:dyDescent="0.3">
      <c r="A214" s="6"/>
      <c r="B214" s="5"/>
      <c r="C214" s="5"/>
      <c r="D214" s="6"/>
      <c r="E214" s="6"/>
      <c r="F214" s="7"/>
      <c r="G214" s="6"/>
      <c r="H214" s="5"/>
      <c r="I214" s="5"/>
      <c r="J214" s="5"/>
      <c r="K214" s="6"/>
      <c r="L214" s="6"/>
      <c r="M214" s="6"/>
      <c r="O214" t="str">
        <f t="shared" si="6"/>
        <v/>
      </c>
      <c r="P214">
        <f t="shared" si="7"/>
        <v>0</v>
      </c>
    </row>
    <row r="215" spans="1:16" ht="37.950000000000003" customHeight="1" x14ac:dyDescent="0.3">
      <c r="A215" s="6"/>
      <c r="B215" s="5"/>
      <c r="C215" s="5"/>
      <c r="D215" s="6"/>
      <c r="E215" s="6"/>
      <c r="F215" s="7"/>
      <c r="G215" s="6"/>
      <c r="H215" s="5"/>
      <c r="I215" s="5"/>
      <c r="J215" s="5"/>
      <c r="K215" s="6"/>
      <c r="L215" s="6"/>
      <c r="M215" s="6"/>
      <c r="O215" t="str">
        <f t="shared" si="6"/>
        <v/>
      </c>
      <c r="P215">
        <f t="shared" si="7"/>
        <v>0</v>
      </c>
    </row>
    <row r="216" spans="1:16" ht="37.950000000000003" customHeight="1" x14ac:dyDescent="0.3">
      <c r="A216" s="6"/>
      <c r="B216" s="5"/>
      <c r="C216" s="5"/>
      <c r="D216" s="6"/>
      <c r="E216" s="6"/>
      <c r="F216" s="7"/>
      <c r="G216" s="6"/>
      <c r="H216" s="5"/>
      <c r="I216" s="5"/>
      <c r="J216" s="5"/>
      <c r="K216" s="6"/>
      <c r="L216" s="6"/>
      <c r="M216" s="6"/>
      <c r="O216" t="str">
        <f t="shared" si="6"/>
        <v/>
      </c>
      <c r="P216">
        <f t="shared" si="7"/>
        <v>0</v>
      </c>
    </row>
    <row r="217" spans="1:16" ht="37.950000000000003" customHeight="1" x14ac:dyDescent="0.3">
      <c r="A217" s="6"/>
      <c r="B217" s="5"/>
      <c r="C217" s="5"/>
      <c r="D217" s="6"/>
      <c r="E217" s="6"/>
      <c r="F217" s="7"/>
      <c r="G217" s="6"/>
      <c r="H217" s="5"/>
      <c r="I217" s="5"/>
      <c r="J217" s="5"/>
      <c r="K217" s="6"/>
      <c r="L217" s="6"/>
      <c r="M217" s="6"/>
      <c r="O217" t="str">
        <f t="shared" si="6"/>
        <v/>
      </c>
      <c r="P217">
        <f t="shared" si="7"/>
        <v>0</v>
      </c>
    </row>
    <row r="218" spans="1:16" ht="37.950000000000003" customHeight="1" x14ac:dyDescent="0.3">
      <c r="A218" s="6"/>
      <c r="B218" s="5"/>
      <c r="C218" s="5"/>
      <c r="D218" s="6"/>
      <c r="E218" s="6"/>
      <c r="F218" s="7"/>
      <c r="G218" s="6"/>
      <c r="H218" s="5"/>
      <c r="I218" s="5"/>
      <c r="J218" s="5"/>
      <c r="K218" s="6"/>
      <c r="L218" s="6"/>
      <c r="M218" s="6"/>
      <c r="O218" t="str">
        <f t="shared" si="6"/>
        <v/>
      </c>
      <c r="P218">
        <f t="shared" si="7"/>
        <v>0</v>
      </c>
    </row>
    <row r="219" spans="1:16" ht="37.950000000000003" customHeight="1" x14ac:dyDescent="0.3">
      <c r="A219" s="6"/>
      <c r="B219" s="5"/>
      <c r="C219" s="5"/>
      <c r="D219" s="6"/>
      <c r="E219" s="6"/>
      <c r="F219" s="7"/>
      <c r="G219" s="6"/>
      <c r="H219" s="5"/>
      <c r="I219" s="5"/>
      <c r="J219" s="5"/>
      <c r="K219" s="6"/>
      <c r="L219" s="6"/>
      <c r="M219" s="6"/>
      <c r="O219" t="str">
        <f t="shared" si="6"/>
        <v/>
      </c>
      <c r="P219">
        <f t="shared" si="7"/>
        <v>0</v>
      </c>
    </row>
    <row r="220" spans="1:16" ht="37.950000000000003" customHeight="1" x14ac:dyDescent="0.3">
      <c r="A220" s="6"/>
      <c r="B220" s="5"/>
      <c r="C220" s="5"/>
      <c r="D220" s="6"/>
      <c r="E220" s="6"/>
      <c r="F220" s="7"/>
      <c r="G220" s="6"/>
      <c r="H220" s="5"/>
      <c r="I220" s="5"/>
      <c r="J220" s="5"/>
      <c r="K220" s="6"/>
      <c r="L220" s="6"/>
      <c r="M220" s="6"/>
      <c r="O220" t="str">
        <f t="shared" si="6"/>
        <v/>
      </c>
      <c r="P220">
        <f t="shared" si="7"/>
        <v>0</v>
      </c>
    </row>
    <row r="221" spans="1:16" ht="37.950000000000003" customHeight="1" x14ac:dyDescent="0.3">
      <c r="A221" s="6"/>
      <c r="B221" s="5"/>
      <c r="C221" s="5"/>
      <c r="D221" s="6"/>
      <c r="E221" s="6"/>
      <c r="F221" s="7"/>
      <c r="G221" s="6"/>
      <c r="H221" s="5"/>
      <c r="I221" s="5"/>
      <c r="J221" s="5"/>
      <c r="K221" s="6"/>
      <c r="L221" s="6"/>
      <c r="M221" s="6"/>
      <c r="O221" t="str">
        <f t="shared" si="6"/>
        <v/>
      </c>
      <c r="P221">
        <f t="shared" si="7"/>
        <v>0</v>
      </c>
    </row>
    <row r="222" spans="1:16" ht="37.950000000000003" customHeight="1" x14ac:dyDescent="0.3">
      <c r="A222" s="6"/>
      <c r="B222" s="5"/>
      <c r="C222" s="5"/>
      <c r="D222" s="6"/>
      <c r="E222" s="6"/>
      <c r="F222" s="7"/>
      <c r="G222" s="6"/>
      <c r="H222" s="5"/>
      <c r="I222" s="5"/>
      <c r="J222" s="5"/>
      <c r="K222" s="6"/>
      <c r="L222" s="6"/>
      <c r="M222" s="6"/>
      <c r="O222" t="str">
        <f t="shared" si="6"/>
        <v/>
      </c>
      <c r="P222">
        <f t="shared" si="7"/>
        <v>0</v>
      </c>
    </row>
    <row r="223" spans="1:16" ht="37.950000000000003" customHeight="1" x14ac:dyDescent="0.3">
      <c r="A223" s="6"/>
      <c r="B223" s="5"/>
      <c r="C223" s="5"/>
      <c r="D223" s="6"/>
      <c r="E223" s="6"/>
      <c r="F223" s="7"/>
      <c r="G223" s="6"/>
      <c r="H223" s="5"/>
      <c r="I223" s="5"/>
      <c r="J223" s="5"/>
      <c r="K223" s="6"/>
      <c r="L223" s="6"/>
      <c r="M223" s="6"/>
      <c r="O223" t="str">
        <f t="shared" si="6"/>
        <v/>
      </c>
      <c r="P223">
        <f t="shared" si="7"/>
        <v>0</v>
      </c>
    </row>
    <row r="224" spans="1:16" ht="37.950000000000003" customHeight="1" x14ac:dyDescent="0.3">
      <c r="A224" s="6"/>
      <c r="B224" s="5"/>
      <c r="C224" s="5"/>
      <c r="D224" s="6"/>
      <c r="E224" s="6"/>
      <c r="F224" s="7"/>
      <c r="G224" s="6"/>
      <c r="H224" s="5"/>
      <c r="I224" s="5"/>
      <c r="J224" s="5"/>
      <c r="K224" s="6"/>
      <c r="L224" s="6"/>
      <c r="M224" s="6"/>
      <c r="O224" t="str">
        <f t="shared" si="6"/>
        <v/>
      </c>
      <c r="P224">
        <f t="shared" si="7"/>
        <v>0</v>
      </c>
    </row>
    <row r="225" spans="1:16" ht="37.950000000000003" customHeight="1" x14ac:dyDescent="0.3">
      <c r="A225" s="6"/>
      <c r="B225" s="5"/>
      <c r="C225" s="5"/>
      <c r="D225" s="6"/>
      <c r="E225" s="6"/>
      <c r="F225" s="7"/>
      <c r="G225" s="6"/>
      <c r="H225" s="5"/>
      <c r="I225" s="5"/>
      <c r="J225" s="5"/>
      <c r="K225" s="6"/>
      <c r="L225" s="6"/>
      <c r="M225" s="6"/>
      <c r="O225" t="str">
        <f t="shared" si="6"/>
        <v/>
      </c>
      <c r="P225">
        <f t="shared" si="7"/>
        <v>0</v>
      </c>
    </row>
    <row r="226" spans="1:16" ht="37.950000000000003" customHeight="1" x14ac:dyDescent="0.3">
      <c r="A226" s="6"/>
      <c r="B226" s="5"/>
      <c r="C226" s="5"/>
      <c r="D226" s="6"/>
      <c r="E226" s="6"/>
      <c r="F226" s="7"/>
      <c r="G226" s="6"/>
      <c r="H226" s="5"/>
      <c r="I226" s="5"/>
      <c r="J226" s="5"/>
      <c r="K226" s="6"/>
      <c r="L226" s="6"/>
      <c r="M226" s="6"/>
      <c r="O226" t="str">
        <f t="shared" si="6"/>
        <v/>
      </c>
      <c r="P226">
        <f t="shared" si="7"/>
        <v>0</v>
      </c>
    </row>
    <row r="227" spans="1:16" ht="37.950000000000003" customHeight="1" x14ac:dyDescent="0.3">
      <c r="A227" s="6"/>
      <c r="B227" s="5"/>
      <c r="C227" s="5"/>
      <c r="D227" s="6"/>
      <c r="E227" s="6"/>
      <c r="F227" s="7"/>
      <c r="G227" s="6"/>
      <c r="H227" s="5"/>
      <c r="I227" s="5"/>
      <c r="J227" s="5"/>
      <c r="K227" s="6"/>
      <c r="L227" s="6"/>
      <c r="M227" s="6"/>
      <c r="O227" t="str">
        <f t="shared" si="6"/>
        <v/>
      </c>
      <c r="P227">
        <f t="shared" si="7"/>
        <v>0</v>
      </c>
    </row>
    <row r="228" spans="1:16" ht="37.950000000000003" customHeight="1" x14ac:dyDescent="0.3">
      <c r="A228" s="6"/>
      <c r="B228" s="5"/>
      <c r="C228" s="5"/>
      <c r="D228" s="6"/>
      <c r="E228" s="6"/>
      <c r="F228" s="7"/>
      <c r="G228" s="6"/>
      <c r="H228" s="5"/>
      <c r="I228" s="5"/>
      <c r="J228" s="5"/>
      <c r="K228" s="6"/>
      <c r="L228" s="6"/>
      <c r="M228" s="6"/>
      <c r="O228" t="str">
        <f t="shared" si="6"/>
        <v/>
      </c>
      <c r="P228">
        <f t="shared" si="7"/>
        <v>0</v>
      </c>
    </row>
    <row r="229" spans="1:16" ht="37.950000000000003" customHeight="1" x14ac:dyDescent="0.3">
      <c r="A229" s="6"/>
      <c r="B229" s="5"/>
      <c r="C229" s="5"/>
      <c r="D229" s="6"/>
      <c r="E229" s="6"/>
      <c r="F229" s="7"/>
      <c r="G229" s="6"/>
      <c r="H229" s="5"/>
      <c r="I229" s="5"/>
      <c r="J229" s="5"/>
      <c r="K229" s="6"/>
      <c r="L229" s="6"/>
      <c r="M229" s="6"/>
      <c r="O229" t="str">
        <f t="shared" si="6"/>
        <v/>
      </c>
      <c r="P229">
        <f t="shared" si="7"/>
        <v>0</v>
      </c>
    </row>
    <row r="230" spans="1:16" ht="37.950000000000003" customHeight="1" x14ac:dyDescent="0.3">
      <c r="A230" s="6"/>
      <c r="B230" s="5"/>
      <c r="C230" s="5"/>
      <c r="D230" s="6"/>
      <c r="E230" s="6"/>
      <c r="F230" s="7"/>
      <c r="G230" s="6"/>
      <c r="H230" s="5"/>
      <c r="I230" s="5"/>
      <c r="J230" s="5"/>
      <c r="K230" s="6"/>
      <c r="L230" s="6"/>
      <c r="M230" s="6"/>
      <c r="O230" t="str">
        <f t="shared" si="6"/>
        <v/>
      </c>
      <c r="P230">
        <f t="shared" si="7"/>
        <v>0</v>
      </c>
    </row>
    <row r="231" spans="1:16" ht="37.950000000000003" customHeight="1" x14ac:dyDescent="0.3">
      <c r="A231" s="6"/>
      <c r="B231" s="5"/>
      <c r="C231" s="5"/>
      <c r="D231" s="6"/>
      <c r="E231" s="6"/>
      <c r="F231" s="7"/>
      <c r="G231" s="6"/>
      <c r="H231" s="5"/>
      <c r="I231" s="5"/>
      <c r="J231" s="5"/>
      <c r="K231" s="6"/>
      <c r="L231" s="6"/>
      <c r="M231" s="6"/>
      <c r="O231" t="str">
        <f t="shared" si="6"/>
        <v/>
      </c>
      <c r="P231">
        <f t="shared" si="7"/>
        <v>0</v>
      </c>
    </row>
    <row r="232" spans="1:16" ht="37.950000000000003" customHeight="1" x14ac:dyDescent="0.3">
      <c r="A232" s="6"/>
      <c r="B232" s="5"/>
      <c r="C232" s="5"/>
      <c r="D232" s="6"/>
      <c r="E232" s="6"/>
      <c r="F232" s="7"/>
      <c r="G232" s="6"/>
      <c r="H232" s="5"/>
      <c r="I232" s="5"/>
      <c r="J232" s="5"/>
      <c r="K232" s="6"/>
      <c r="L232" s="6"/>
      <c r="M232" s="6"/>
      <c r="O232" t="str">
        <f t="shared" si="6"/>
        <v/>
      </c>
      <c r="P232">
        <f t="shared" si="7"/>
        <v>0</v>
      </c>
    </row>
    <row r="233" spans="1:16" ht="37.950000000000003" customHeight="1" x14ac:dyDescent="0.3">
      <c r="A233" s="6"/>
      <c r="B233" s="5"/>
      <c r="C233" s="5"/>
      <c r="D233" s="6"/>
      <c r="E233" s="6"/>
      <c r="F233" s="7"/>
      <c r="G233" s="6"/>
      <c r="H233" s="5"/>
      <c r="I233" s="5"/>
      <c r="J233" s="5"/>
      <c r="K233" s="6"/>
      <c r="L233" s="6"/>
      <c r="M233" s="6"/>
      <c r="O233" t="str">
        <f t="shared" si="6"/>
        <v/>
      </c>
      <c r="P233">
        <f t="shared" si="7"/>
        <v>0</v>
      </c>
    </row>
    <row r="234" spans="1:16" ht="37.950000000000003" customHeight="1" x14ac:dyDescent="0.3">
      <c r="A234" s="6"/>
      <c r="B234" s="5"/>
      <c r="C234" s="5"/>
      <c r="D234" s="6"/>
      <c r="E234" s="6"/>
      <c r="F234" s="7"/>
      <c r="G234" s="6"/>
      <c r="H234" s="5"/>
      <c r="I234" s="5"/>
      <c r="J234" s="5"/>
      <c r="K234" s="6"/>
      <c r="L234" s="6"/>
      <c r="M234" s="6"/>
      <c r="O234" t="str">
        <f t="shared" si="6"/>
        <v/>
      </c>
      <c r="P234">
        <f t="shared" si="7"/>
        <v>0</v>
      </c>
    </row>
    <row r="235" spans="1:16" ht="37.950000000000003" customHeight="1" x14ac:dyDescent="0.3">
      <c r="A235" s="6"/>
      <c r="B235" s="5"/>
      <c r="C235" s="5"/>
      <c r="D235" s="6"/>
      <c r="E235" s="6"/>
      <c r="F235" s="7"/>
      <c r="G235" s="6"/>
      <c r="H235" s="5"/>
      <c r="I235" s="5"/>
      <c r="J235" s="5"/>
      <c r="K235" s="6"/>
      <c r="L235" s="6"/>
      <c r="M235" s="6"/>
      <c r="O235" t="str">
        <f t="shared" si="6"/>
        <v/>
      </c>
      <c r="P235">
        <f t="shared" si="7"/>
        <v>0</v>
      </c>
    </row>
    <row r="236" spans="1:16" ht="37.950000000000003" customHeight="1" x14ac:dyDescent="0.3">
      <c r="A236" s="6"/>
      <c r="B236" s="5"/>
      <c r="C236" s="5"/>
      <c r="D236" s="6"/>
      <c r="E236" s="6"/>
      <c r="F236" s="7"/>
      <c r="G236" s="6"/>
      <c r="H236" s="5"/>
      <c r="I236" s="5"/>
      <c r="J236" s="5"/>
      <c r="K236" s="6"/>
      <c r="L236" s="6"/>
      <c r="M236" s="6"/>
      <c r="O236" t="str">
        <f t="shared" si="6"/>
        <v/>
      </c>
      <c r="P236">
        <f t="shared" si="7"/>
        <v>0</v>
      </c>
    </row>
    <row r="237" spans="1:16" ht="37.950000000000003" customHeight="1" x14ac:dyDescent="0.3">
      <c r="A237" s="6"/>
      <c r="B237" s="5"/>
      <c r="C237" s="5"/>
      <c r="D237" s="6"/>
      <c r="E237" s="6"/>
      <c r="F237" s="7"/>
      <c r="G237" s="6"/>
      <c r="H237" s="5"/>
      <c r="I237" s="5"/>
      <c r="J237" s="5"/>
      <c r="K237" s="6"/>
      <c r="L237" s="6"/>
      <c r="M237" s="6"/>
      <c r="O237" t="str">
        <f t="shared" si="6"/>
        <v/>
      </c>
      <c r="P237">
        <f t="shared" si="7"/>
        <v>0</v>
      </c>
    </row>
    <row r="238" spans="1:16" ht="37.950000000000003" customHeight="1" x14ac:dyDescent="0.3">
      <c r="A238" s="6"/>
      <c r="B238" s="5"/>
      <c r="C238" s="5"/>
      <c r="D238" s="6"/>
      <c r="E238" s="6"/>
      <c r="F238" s="7"/>
      <c r="G238" s="6"/>
      <c r="H238" s="5"/>
      <c r="I238" s="5"/>
      <c r="J238" s="5"/>
      <c r="K238" s="6"/>
      <c r="L238" s="6"/>
      <c r="M238" s="6"/>
      <c r="O238" t="str">
        <f t="shared" si="6"/>
        <v/>
      </c>
      <c r="P238">
        <f t="shared" si="7"/>
        <v>0</v>
      </c>
    </row>
    <row r="239" spans="1:16" ht="37.950000000000003" customHeight="1" x14ac:dyDescent="0.3">
      <c r="A239" s="6"/>
      <c r="B239" s="5"/>
      <c r="C239" s="5"/>
      <c r="D239" s="6"/>
      <c r="E239" s="6"/>
      <c r="F239" s="7"/>
      <c r="G239" s="6"/>
      <c r="H239" s="5"/>
      <c r="I239" s="5"/>
      <c r="J239" s="5"/>
      <c r="K239" s="6"/>
      <c r="L239" s="6"/>
      <c r="M239" s="6"/>
      <c r="O239" t="str">
        <f t="shared" si="6"/>
        <v/>
      </c>
      <c r="P239">
        <f t="shared" si="7"/>
        <v>0</v>
      </c>
    </row>
    <row r="240" spans="1:16" ht="37.950000000000003" customHeight="1" x14ac:dyDescent="0.3">
      <c r="A240" s="6"/>
      <c r="B240" s="5"/>
      <c r="C240" s="5"/>
      <c r="D240" s="6"/>
      <c r="E240" s="6"/>
      <c r="F240" s="7"/>
      <c r="G240" s="6"/>
      <c r="H240" s="5"/>
      <c r="I240" s="5"/>
      <c r="J240" s="5"/>
      <c r="K240" s="6"/>
      <c r="L240" s="6"/>
      <c r="M240" s="6"/>
      <c r="O240" t="str">
        <f t="shared" si="6"/>
        <v/>
      </c>
      <c r="P240">
        <f t="shared" si="7"/>
        <v>0</v>
      </c>
    </row>
    <row r="241" spans="1:16" ht="37.950000000000003" customHeight="1" x14ac:dyDescent="0.3">
      <c r="A241" s="6"/>
      <c r="B241" s="5"/>
      <c r="C241" s="5"/>
      <c r="D241" s="6"/>
      <c r="E241" s="6"/>
      <c r="F241" s="7"/>
      <c r="G241" s="6"/>
      <c r="H241" s="5"/>
      <c r="I241" s="5"/>
      <c r="J241" s="5"/>
      <c r="K241" s="6"/>
      <c r="L241" s="6"/>
      <c r="M241" s="6"/>
      <c r="O241" t="str">
        <f t="shared" si="6"/>
        <v/>
      </c>
      <c r="P241">
        <f t="shared" si="7"/>
        <v>0</v>
      </c>
    </row>
    <row r="242" spans="1:16" ht="37.950000000000003" customHeight="1" x14ac:dyDescent="0.3">
      <c r="A242" s="6"/>
      <c r="B242" s="5"/>
      <c r="C242" s="5"/>
      <c r="D242" s="6"/>
      <c r="E242" s="6"/>
      <c r="F242" s="7"/>
      <c r="G242" s="6"/>
      <c r="H242" s="5"/>
      <c r="I242" s="5"/>
      <c r="J242" s="5"/>
      <c r="K242" s="6"/>
      <c r="L242" s="6"/>
      <c r="M242" s="6"/>
      <c r="O242" t="str">
        <f t="shared" si="6"/>
        <v/>
      </c>
      <c r="P242">
        <f t="shared" si="7"/>
        <v>0</v>
      </c>
    </row>
    <row r="243" spans="1:16" ht="37.950000000000003" customHeight="1" x14ac:dyDescent="0.3">
      <c r="A243" s="6"/>
      <c r="B243" s="5"/>
      <c r="C243" s="5"/>
      <c r="D243" s="6"/>
      <c r="E243" s="6"/>
      <c r="F243" s="7"/>
      <c r="G243" s="6"/>
      <c r="H243" s="5"/>
      <c r="I243" s="5"/>
      <c r="J243" s="5"/>
      <c r="K243" s="6"/>
      <c r="L243" s="6"/>
      <c r="M243" s="6"/>
      <c r="O243" t="str">
        <f t="shared" si="6"/>
        <v/>
      </c>
      <c r="P243">
        <f t="shared" si="7"/>
        <v>0</v>
      </c>
    </row>
    <row r="244" spans="1:16" ht="37.950000000000003" customHeight="1" x14ac:dyDescent="0.3">
      <c r="A244" s="6"/>
      <c r="B244" s="5"/>
      <c r="C244" s="5"/>
      <c r="D244" s="6"/>
      <c r="E244" s="6"/>
      <c r="F244" s="7"/>
      <c r="G244" s="6"/>
      <c r="H244" s="5"/>
      <c r="I244" s="5"/>
      <c r="J244" s="5"/>
      <c r="K244" s="6"/>
      <c r="L244" s="6"/>
      <c r="M244" s="6"/>
      <c r="O244" t="str">
        <f t="shared" si="6"/>
        <v/>
      </c>
      <c r="P244">
        <f t="shared" si="7"/>
        <v>0</v>
      </c>
    </row>
    <row r="245" spans="1:16" ht="37.950000000000003" customHeight="1" x14ac:dyDescent="0.3">
      <c r="A245" s="6"/>
      <c r="B245" s="5"/>
      <c r="C245" s="5"/>
      <c r="D245" s="6"/>
      <c r="E245" s="6"/>
      <c r="F245" s="7"/>
      <c r="G245" s="6"/>
      <c r="H245" s="5"/>
      <c r="I245" s="5"/>
      <c r="J245" s="5"/>
      <c r="K245" s="6"/>
      <c r="L245" s="6"/>
      <c r="M245" s="6"/>
      <c r="O245" t="str">
        <f t="shared" si="6"/>
        <v/>
      </c>
      <c r="P245">
        <f t="shared" si="7"/>
        <v>0</v>
      </c>
    </row>
    <row r="246" spans="1:16" ht="37.950000000000003" customHeight="1" x14ac:dyDescent="0.3">
      <c r="A246" s="6"/>
      <c r="B246" s="5"/>
      <c r="C246" s="5"/>
      <c r="D246" s="6"/>
      <c r="E246" s="6"/>
      <c r="F246" s="7"/>
      <c r="G246" s="6"/>
      <c r="H246" s="5"/>
      <c r="I246" s="5"/>
      <c r="J246" s="5"/>
      <c r="K246" s="6"/>
      <c r="L246" s="6"/>
      <c r="M246" s="6"/>
      <c r="O246" t="str">
        <f t="shared" si="6"/>
        <v/>
      </c>
      <c r="P246">
        <f t="shared" si="7"/>
        <v>0</v>
      </c>
    </row>
    <row r="247" spans="1:16" ht="37.950000000000003" customHeight="1" x14ac:dyDescent="0.3">
      <c r="A247" s="6"/>
      <c r="B247" s="5"/>
      <c r="C247" s="5"/>
      <c r="D247" s="6"/>
      <c r="E247" s="6"/>
      <c r="F247" s="7"/>
      <c r="G247" s="6"/>
      <c r="H247" s="5"/>
      <c r="I247" s="5"/>
      <c r="J247" s="5"/>
      <c r="K247" s="6"/>
      <c r="L247" s="6"/>
      <c r="M247" s="6"/>
      <c r="O247" t="str">
        <f t="shared" si="6"/>
        <v/>
      </c>
      <c r="P247">
        <f t="shared" si="7"/>
        <v>0</v>
      </c>
    </row>
    <row r="248" spans="1:16" ht="37.950000000000003" customHeight="1" x14ac:dyDescent="0.3">
      <c r="A248" s="6"/>
      <c r="B248" s="5"/>
      <c r="C248" s="5"/>
      <c r="D248" s="6"/>
      <c r="E248" s="6"/>
      <c r="F248" s="7"/>
      <c r="G248" s="6"/>
      <c r="H248" s="5"/>
      <c r="I248" s="5"/>
      <c r="J248" s="5"/>
      <c r="K248" s="6"/>
      <c r="L248" s="6"/>
      <c r="M248" s="6"/>
      <c r="O248" t="str">
        <f t="shared" si="6"/>
        <v/>
      </c>
      <c r="P248">
        <f t="shared" si="7"/>
        <v>0</v>
      </c>
    </row>
    <row r="249" spans="1:16" ht="37.950000000000003" customHeight="1" x14ac:dyDescent="0.3">
      <c r="A249" s="6"/>
      <c r="B249" s="5"/>
      <c r="C249" s="5"/>
      <c r="D249" s="6"/>
      <c r="E249" s="6"/>
      <c r="F249" s="7"/>
      <c r="G249" s="6"/>
      <c r="H249" s="5"/>
      <c r="I249" s="5"/>
      <c r="J249" s="5"/>
      <c r="K249" s="6"/>
      <c r="L249" s="6"/>
      <c r="M249" s="6"/>
      <c r="O249" t="str">
        <f t="shared" si="6"/>
        <v/>
      </c>
      <c r="P249">
        <f t="shared" si="7"/>
        <v>0</v>
      </c>
    </row>
    <row r="250" spans="1:16" ht="37.950000000000003" customHeight="1" x14ac:dyDescent="0.3">
      <c r="A250" s="6"/>
      <c r="B250" s="5"/>
      <c r="C250" s="5"/>
      <c r="D250" s="6"/>
      <c r="E250" s="6"/>
      <c r="F250" s="7"/>
      <c r="G250" s="6"/>
      <c r="H250" s="5"/>
      <c r="I250" s="5"/>
      <c r="J250" s="5"/>
      <c r="K250" s="6"/>
      <c r="L250" s="6"/>
      <c r="M250" s="6"/>
      <c r="O250" t="str">
        <f t="shared" si="6"/>
        <v/>
      </c>
      <c r="P250">
        <f t="shared" si="7"/>
        <v>0</v>
      </c>
    </row>
    <row r="251" spans="1:16" ht="37.950000000000003" customHeight="1" x14ac:dyDescent="0.3">
      <c r="A251" s="6"/>
      <c r="B251" s="5"/>
      <c r="C251" s="5"/>
      <c r="D251" s="6"/>
      <c r="E251" s="6"/>
      <c r="F251" s="7"/>
      <c r="G251" s="6"/>
      <c r="H251" s="5"/>
      <c r="I251" s="5"/>
      <c r="J251" s="5"/>
      <c r="K251" s="6"/>
      <c r="L251" s="6"/>
      <c r="M251" s="6"/>
      <c r="O251" t="str">
        <f t="shared" si="6"/>
        <v/>
      </c>
      <c r="P251">
        <f t="shared" si="7"/>
        <v>0</v>
      </c>
    </row>
    <row r="252" spans="1:16" ht="37.950000000000003" customHeight="1" x14ac:dyDescent="0.3">
      <c r="A252" s="6"/>
      <c r="B252" s="5"/>
      <c r="C252" s="5"/>
      <c r="D252" s="6"/>
      <c r="E252" s="6"/>
      <c r="F252" s="7"/>
      <c r="G252" s="6"/>
      <c r="H252" s="5"/>
      <c r="I252" s="5"/>
      <c r="J252" s="5"/>
      <c r="K252" s="6"/>
      <c r="L252" s="6"/>
      <c r="M252" s="6"/>
      <c r="O252" t="str">
        <f t="shared" si="6"/>
        <v/>
      </c>
      <c r="P252">
        <f t="shared" si="7"/>
        <v>0</v>
      </c>
    </row>
    <row r="253" spans="1:16" ht="37.950000000000003" customHeight="1" x14ac:dyDescent="0.3">
      <c r="A253" s="6"/>
      <c r="B253" s="5"/>
      <c r="C253" s="5"/>
      <c r="D253" s="6"/>
      <c r="E253" s="6"/>
      <c r="F253" s="7"/>
      <c r="G253" s="6"/>
      <c r="H253" s="5"/>
      <c r="I253" s="5"/>
      <c r="J253" s="5"/>
      <c r="K253" s="6"/>
      <c r="L253" s="6"/>
      <c r="M253" s="6"/>
      <c r="O253" t="str">
        <f t="shared" si="6"/>
        <v/>
      </c>
      <c r="P253">
        <f t="shared" si="7"/>
        <v>0</v>
      </c>
    </row>
    <row r="254" spans="1:16" ht="37.950000000000003" customHeight="1" x14ac:dyDescent="0.3">
      <c r="A254" s="6"/>
      <c r="B254" s="5"/>
      <c r="C254" s="5"/>
      <c r="D254" s="6"/>
      <c r="E254" s="6"/>
      <c r="F254" s="7"/>
      <c r="G254" s="6"/>
      <c r="H254" s="5"/>
      <c r="I254" s="5"/>
      <c r="J254" s="5"/>
      <c r="K254" s="6"/>
      <c r="L254" s="6"/>
      <c r="M254" s="6"/>
      <c r="O254" t="str">
        <f t="shared" si="6"/>
        <v/>
      </c>
      <c r="P254">
        <f t="shared" si="7"/>
        <v>0</v>
      </c>
    </row>
    <row r="255" spans="1:16" ht="37.950000000000003" customHeight="1" x14ac:dyDescent="0.3">
      <c r="A255" s="6"/>
      <c r="B255" s="5"/>
      <c r="C255" s="5"/>
      <c r="D255" s="6"/>
      <c r="E255" s="6"/>
      <c r="F255" s="7"/>
      <c r="G255" s="6"/>
      <c r="H255" s="5"/>
      <c r="I255" s="5"/>
      <c r="J255" s="5"/>
      <c r="K255" s="6"/>
      <c r="L255" s="6"/>
      <c r="M255" s="6"/>
      <c r="O255" t="str">
        <f t="shared" si="6"/>
        <v/>
      </c>
      <c r="P255">
        <f t="shared" si="7"/>
        <v>0</v>
      </c>
    </row>
    <row r="256" spans="1:16" ht="37.950000000000003" customHeight="1" x14ac:dyDescent="0.3">
      <c r="A256" s="6"/>
      <c r="B256" s="5"/>
      <c r="C256" s="5"/>
      <c r="D256" s="6"/>
      <c r="E256" s="6"/>
      <c r="F256" s="7"/>
      <c r="G256" s="6"/>
      <c r="H256" s="5"/>
      <c r="I256" s="5"/>
      <c r="J256" s="5"/>
      <c r="K256" s="6"/>
      <c r="L256" s="6"/>
      <c r="M256" s="6"/>
      <c r="O256" t="str">
        <f t="shared" si="6"/>
        <v/>
      </c>
      <c r="P256">
        <f t="shared" si="7"/>
        <v>0</v>
      </c>
    </row>
    <row r="257" spans="1:16" ht="37.950000000000003" customHeight="1" x14ac:dyDescent="0.3">
      <c r="A257" s="6"/>
      <c r="B257" s="5"/>
      <c r="C257" s="5"/>
      <c r="D257" s="6"/>
      <c r="E257" s="6"/>
      <c r="F257" s="7"/>
      <c r="G257" s="6"/>
      <c r="H257" s="5"/>
      <c r="I257" s="5"/>
      <c r="J257" s="5"/>
      <c r="K257" s="6"/>
      <c r="L257" s="6"/>
      <c r="M257" s="6"/>
      <c r="O257" t="str">
        <f t="shared" si="6"/>
        <v/>
      </c>
      <c r="P257">
        <f t="shared" si="7"/>
        <v>0</v>
      </c>
    </row>
    <row r="258" spans="1:16" ht="37.950000000000003" customHeight="1" x14ac:dyDescent="0.3">
      <c r="A258" s="6"/>
      <c r="B258" s="5"/>
      <c r="C258" s="5"/>
      <c r="D258" s="6"/>
      <c r="E258" s="6"/>
      <c r="F258" s="7"/>
      <c r="G258" s="6"/>
      <c r="H258" s="5"/>
      <c r="I258" s="5"/>
      <c r="J258" s="5"/>
      <c r="K258" s="6"/>
      <c r="L258" s="6"/>
      <c r="M258" s="6"/>
      <c r="O258" t="str">
        <f t="shared" si="6"/>
        <v/>
      </c>
      <c r="P258">
        <f t="shared" si="7"/>
        <v>0</v>
      </c>
    </row>
    <row r="259" spans="1:16" ht="37.950000000000003" customHeight="1" x14ac:dyDescent="0.3">
      <c r="A259" s="6"/>
      <c r="B259" s="5"/>
      <c r="C259" s="5"/>
      <c r="D259" s="6"/>
      <c r="E259" s="6"/>
      <c r="F259" s="7"/>
      <c r="G259" s="6"/>
      <c r="H259" s="5"/>
      <c r="I259" s="5"/>
      <c r="J259" s="5"/>
      <c r="K259" s="6"/>
      <c r="L259" s="6"/>
      <c r="M259" s="6"/>
      <c r="O259" t="str">
        <f t="shared" si="6"/>
        <v/>
      </c>
      <c r="P259">
        <f t="shared" si="7"/>
        <v>0</v>
      </c>
    </row>
    <row r="260" spans="1:16" ht="37.950000000000003" customHeight="1" x14ac:dyDescent="0.3">
      <c r="A260" s="6"/>
      <c r="B260" s="5"/>
      <c r="C260" s="5"/>
      <c r="D260" s="6"/>
      <c r="E260" s="6"/>
      <c r="F260" s="7"/>
      <c r="G260" s="6"/>
      <c r="H260" s="5"/>
      <c r="I260" s="5"/>
      <c r="J260" s="5"/>
      <c r="K260" s="6"/>
      <c r="L260" s="6"/>
      <c r="M260" s="6"/>
      <c r="O260" t="str">
        <f t="shared" si="6"/>
        <v/>
      </c>
      <c r="P260">
        <f t="shared" si="7"/>
        <v>0</v>
      </c>
    </row>
    <row r="261" spans="1:16" ht="37.950000000000003" customHeight="1" x14ac:dyDescent="0.3">
      <c r="A261" s="6"/>
      <c r="B261" s="5"/>
      <c r="C261" s="5"/>
      <c r="D261" s="6"/>
      <c r="E261" s="6"/>
      <c r="F261" s="7"/>
      <c r="G261" s="6"/>
      <c r="H261" s="5"/>
      <c r="I261" s="5"/>
      <c r="J261" s="5"/>
      <c r="K261" s="6"/>
      <c r="L261" s="6"/>
      <c r="M261" s="6"/>
      <c r="O261" t="str">
        <f t="shared" ref="O261:O304" si="8">IF($B261="Reading &amp; Writing","secRW",IF($B261="Math","secMath",""))</f>
        <v/>
      </c>
      <c r="P261">
        <f t="shared" ref="P261:P304" si="9">IF(COUNTA(A261:M261)&gt;0,1,0)</f>
        <v>0</v>
      </c>
    </row>
    <row r="262" spans="1:16" ht="37.950000000000003" customHeight="1" x14ac:dyDescent="0.3">
      <c r="A262" s="6"/>
      <c r="B262" s="5"/>
      <c r="C262" s="5"/>
      <c r="D262" s="6"/>
      <c r="E262" s="6"/>
      <c r="F262" s="7"/>
      <c r="G262" s="6"/>
      <c r="H262" s="5"/>
      <c r="I262" s="5"/>
      <c r="J262" s="5"/>
      <c r="K262" s="6"/>
      <c r="L262" s="6"/>
      <c r="M262" s="6"/>
      <c r="O262" t="str">
        <f t="shared" si="8"/>
        <v/>
      </c>
      <c r="P262">
        <f t="shared" si="9"/>
        <v>0</v>
      </c>
    </row>
    <row r="263" spans="1:16" ht="37.950000000000003" customHeight="1" x14ac:dyDescent="0.3">
      <c r="A263" s="6"/>
      <c r="B263" s="5"/>
      <c r="C263" s="5"/>
      <c r="D263" s="6"/>
      <c r="E263" s="6"/>
      <c r="F263" s="7"/>
      <c r="G263" s="6"/>
      <c r="H263" s="5"/>
      <c r="I263" s="5"/>
      <c r="J263" s="5"/>
      <c r="K263" s="6"/>
      <c r="L263" s="6"/>
      <c r="M263" s="6"/>
      <c r="O263" t="str">
        <f t="shared" si="8"/>
        <v/>
      </c>
      <c r="P263">
        <f t="shared" si="9"/>
        <v>0</v>
      </c>
    </row>
    <row r="264" spans="1:16" ht="37.950000000000003" customHeight="1" x14ac:dyDescent="0.3">
      <c r="A264" s="6"/>
      <c r="B264" s="5"/>
      <c r="C264" s="5"/>
      <c r="D264" s="6"/>
      <c r="E264" s="6"/>
      <c r="F264" s="7"/>
      <c r="G264" s="6"/>
      <c r="H264" s="5"/>
      <c r="I264" s="5"/>
      <c r="J264" s="5"/>
      <c r="K264" s="6"/>
      <c r="L264" s="6"/>
      <c r="M264" s="6"/>
      <c r="O264" t="str">
        <f t="shared" si="8"/>
        <v/>
      </c>
      <c r="P264">
        <f t="shared" si="9"/>
        <v>0</v>
      </c>
    </row>
    <row r="265" spans="1:16" ht="37.950000000000003" customHeight="1" x14ac:dyDescent="0.3">
      <c r="A265" s="6"/>
      <c r="B265" s="5"/>
      <c r="C265" s="5"/>
      <c r="D265" s="6"/>
      <c r="E265" s="6"/>
      <c r="F265" s="7"/>
      <c r="G265" s="6"/>
      <c r="H265" s="5"/>
      <c r="I265" s="5"/>
      <c r="J265" s="5"/>
      <c r="K265" s="6"/>
      <c r="L265" s="6"/>
      <c r="M265" s="6"/>
      <c r="O265" t="str">
        <f t="shared" si="8"/>
        <v/>
      </c>
      <c r="P265">
        <f t="shared" si="9"/>
        <v>0</v>
      </c>
    </row>
    <row r="266" spans="1:16" ht="37.950000000000003" customHeight="1" x14ac:dyDescent="0.3">
      <c r="A266" s="6"/>
      <c r="B266" s="5"/>
      <c r="C266" s="5"/>
      <c r="D266" s="6"/>
      <c r="E266" s="6"/>
      <c r="F266" s="7"/>
      <c r="G266" s="6"/>
      <c r="H266" s="5"/>
      <c r="I266" s="5"/>
      <c r="J266" s="5"/>
      <c r="K266" s="6"/>
      <c r="L266" s="6"/>
      <c r="M266" s="6"/>
      <c r="O266" t="str">
        <f t="shared" si="8"/>
        <v/>
      </c>
      <c r="P266">
        <f t="shared" si="9"/>
        <v>0</v>
      </c>
    </row>
    <row r="267" spans="1:16" ht="37.950000000000003" customHeight="1" x14ac:dyDescent="0.3">
      <c r="A267" s="6"/>
      <c r="B267" s="5"/>
      <c r="C267" s="5"/>
      <c r="D267" s="6"/>
      <c r="E267" s="6"/>
      <c r="F267" s="7"/>
      <c r="G267" s="6"/>
      <c r="H267" s="5"/>
      <c r="I267" s="5"/>
      <c r="J267" s="5"/>
      <c r="K267" s="6"/>
      <c r="L267" s="6"/>
      <c r="M267" s="6"/>
      <c r="O267" t="str">
        <f t="shared" si="8"/>
        <v/>
      </c>
      <c r="P267">
        <f t="shared" si="9"/>
        <v>0</v>
      </c>
    </row>
    <row r="268" spans="1:16" ht="37.950000000000003" customHeight="1" x14ac:dyDescent="0.3">
      <c r="A268" s="6"/>
      <c r="B268" s="5"/>
      <c r="C268" s="5"/>
      <c r="D268" s="6"/>
      <c r="E268" s="6"/>
      <c r="F268" s="7"/>
      <c r="G268" s="6"/>
      <c r="H268" s="5"/>
      <c r="I268" s="5"/>
      <c r="J268" s="5"/>
      <c r="K268" s="6"/>
      <c r="L268" s="6"/>
      <c r="M268" s="6"/>
      <c r="O268" t="str">
        <f t="shared" si="8"/>
        <v/>
      </c>
      <c r="P268">
        <f t="shared" si="9"/>
        <v>0</v>
      </c>
    </row>
    <row r="269" spans="1:16" ht="37.950000000000003" customHeight="1" x14ac:dyDescent="0.3">
      <c r="A269" s="6"/>
      <c r="B269" s="5"/>
      <c r="C269" s="5"/>
      <c r="D269" s="6"/>
      <c r="E269" s="6"/>
      <c r="F269" s="7"/>
      <c r="G269" s="6"/>
      <c r="H269" s="5"/>
      <c r="I269" s="5"/>
      <c r="J269" s="5"/>
      <c r="K269" s="6"/>
      <c r="L269" s="6"/>
      <c r="M269" s="6"/>
      <c r="O269" t="str">
        <f t="shared" si="8"/>
        <v/>
      </c>
      <c r="P269">
        <f t="shared" si="9"/>
        <v>0</v>
      </c>
    </row>
    <row r="270" spans="1:16" ht="37.950000000000003" customHeight="1" x14ac:dyDescent="0.3">
      <c r="A270" s="6"/>
      <c r="B270" s="5"/>
      <c r="C270" s="5"/>
      <c r="D270" s="6"/>
      <c r="E270" s="6"/>
      <c r="F270" s="7"/>
      <c r="G270" s="6"/>
      <c r="H270" s="5"/>
      <c r="I270" s="5"/>
      <c r="J270" s="5"/>
      <c r="K270" s="6"/>
      <c r="L270" s="6"/>
      <c r="M270" s="6"/>
      <c r="O270" t="str">
        <f t="shared" si="8"/>
        <v/>
      </c>
      <c r="P270">
        <f t="shared" si="9"/>
        <v>0</v>
      </c>
    </row>
    <row r="271" spans="1:16" ht="37.950000000000003" customHeight="1" x14ac:dyDescent="0.3">
      <c r="A271" s="6"/>
      <c r="B271" s="5"/>
      <c r="C271" s="5"/>
      <c r="D271" s="6"/>
      <c r="E271" s="6"/>
      <c r="F271" s="7"/>
      <c r="G271" s="6"/>
      <c r="H271" s="5"/>
      <c r="I271" s="5"/>
      <c r="J271" s="5"/>
      <c r="K271" s="6"/>
      <c r="L271" s="6"/>
      <c r="M271" s="6"/>
      <c r="O271" t="str">
        <f t="shared" si="8"/>
        <v/>
      </c>
      <c r="P271">
        <f t="shared" si="9"/>
        <v>0</v>
      </c>
    </row>
    <row r="272" spans="1:16" ht="37.950000000000003" customHeight="1" x14ac:dyDescent="0.3">
      <c r="A272" s="6"/>
      <c r="B272" s="5"/>
      <c r="C272" s="5"/>
      <c r="D272" s="6"/>
      <c r="E272" s="6"/>
      <c r="F272" s="7"/>
      <c r="G272" s="6"/>
      <c r="H272" s="5"/>
      <c r="I272" s="5"/>
      <c r="J272" s="5"/>
      <c r="K272" s="6"/>
      <c r="L272" s="6"/>
      <c r="M272" s="6"/>
      <c r="O272" t="str">
        <f t="shared" si="8"/>
        <v/>
      </c>
      <c r="P272">
        <f t="shared" si="9"/>
        <v>0</v>
      </c>
    </row>
    <row r="273" spans="1:16" ht="37.950000000000003" customHeight="1" x14ac:dyDescent="0.3">
      <c r="A273" s="6"/>
      <c r="B273" s="5"/>
      <c r="C273" s="5"/>
      <c r="D273" s="6"/>
      <c r="E273" s="6"/>
      <c r="F273" s="7"/>
      <c r="G273" s="6"/>
      <c r="H273" s="5"/>
      <c r="I273" s="5"/>
      <c r="J273" s="5"/>
      <c r="K273" s="6"/>
      <c r="L273" s="6"/>
      <c r="M273" s="6"/>
      <c r="O273" t="str">
        <f t="shared" si="8"/>
        <v/>
      </c>
      <c r="P273">
        <f t="shared" si="9"/>
        <v>0</v>
      </c>
    </row>
    <row r="274" spans="1:16" ht="37.950000000000003" customHeight="1" x14ac:dyDescent="0.3">
      <c r="A274" s="6"/>
      <c r="B274" s="5"/>
      <c r="C274" s="5"/>
      <c r="D274" s="6"/>
      <c r="E274" s="6"/>
      <c r="F274" s="7"/>
      <c r="G274" s="6"/>
      <c r="H274" s="5"/>
      <c r="I274" s="5"/>
      <c r="J274" s="5"/>
      <c r="K274" s="6"/>
      <c r="L274" s="6"/>
      <c r="M274" s="6"/>
      <c r="O274" t="str">
        <f t="shared" si="8"/>
        <v/>
      </c>
      <c r="P274">
        <f t="shared" si="9"/>
        <v>0</v>
      </c>
    </row>
    <row r="275" spans="1:16" ht="37.950000000000003" customHeight="1" x14ac:dyDescent="0.3">
      <c r="A275" s="6"/>
      <c r="B275" s="5"/>
      <c r="C275" s="5"/>
      <c r="D275" s="6"/>
      <c r="E275" s="6"/>
      <c r="F275" s="7"/>
      <c r="G275" s="6"/>
      <c r="H275" s="5"/>
      <c r="I275" s="5"/>
      <c r="J275" s="5"/>
      <c r="K275" s="6"/>
      <c r="L275" s="6"/>
      <c r="M275" s="6"/>
      <c r="O275" t="str">
        <f t="shared" si="8"/>
        <v/>
      </c>
      <c r="P275">
        <f t="shared" si="9"/>
        <v>0</v>
      </c>
    </row>
    <row r="276" spans="1:16" ht="37.950000000000003" customHeight="1" x14ac:dyDescent="0.3">
      <c r="A276" s="6"/>
      <c r="B276" s="5"/>
      <c r="C276" s="5"/>
      <c r="D276" s="6"/>
      <c r="E276" s="6"/>
      <c r="F276" s="7"/>
      <c r="G276" s="6"/>
      <c r="H276" s="5"/>
      <c r="I276" s="5"/>
      <c r="J276" s="5"/>
      <c r="K276" s="6"/>
      <c r="L276" s="6"/>
      <c r="M276" s="6"/>
      <c r="O276" t="str">
        <f t="shared" si="8"/>
        <v/>
      </c>
      <c r="P276">
        <f t="shared" si="9"/>
        <v>0</v>
      </c>
    </row>
    <row r="277" spans="1:16" ht="37.950000000000003" customHeight="1" x14ac:dyDescent="0.3">
      <c r="A277" s="6"/>
      <c r="B277" s="5"/>
      <c r="C277" s="5"/>
      <c r="D277" s="6"/>
      <c r="E277" s="6"/>
      <c r="F277" s="7"/>
      <c r="G277" s="6"/>
      <c r="H277" s="5"/>
      <c r="I277" s="5"/>
      <c r="J277" s="5"/>
      <c r="K277" s="6"/>
      <c r="L277" s="6"/>
      <c r="M277" s="6"/>
      <c r="O277" t="str">
        <f t="shared" si="8"/>
        <v/>
      </c>
      <c r="P277">
        <f t="shared" si="9"/>
        <v>0</v>
      </c>
    </row>
    <row r="278" spans="1:16" ht="37.950000000000003" customHeight="1" x14ac:dyDescent="0.3">
      <c r="A278" s="6"/>
      <c r="B278" s="5"/>
      <c r="C278" s="5"/>
      <c r="D278" s="6"/>
      <c r="E278" s="6"/>
      <c r="F278" s="7"/>
      <c r="G278" s="6"/>
      <c r="H278" s="5"/>
      <c r="I278" s="5"/>
      <c r="J278" s="5"/>
      <c r="K278" s="6"/>
      <c r="L278" s="6"/>
      <c r="M278" s="6"/>
      <c r="O278" t="str">
        <f t="shared" si="8"/>
        <v/>
      </c>
      <c r="P278">
        <f t="shared" si="9"/>
        <v>0</v>
      </c>
    </row>
    <row r="279" spans="1:16" ht="37.950000000000003" customHeight="1" x14ac:dyDescent="0.3">
      <c r="A279" s="6"/>
      <c r="B279" s="5"/>
      <c r="C279" s="5"/>
      <c r="D279" s="6"/>
      <c r="E279" s="6"/>
      <c r="F279" s="7"/>
      <c r="G279" s="6"/>
      <c r="H279" s="5"/>
      <c r="I279" s="5"/>
      <c r="J279" s="5"/>
      <c r="K279" s="6"/>
      <c r="L279" s="6"/>
      <c r="M279" s="6"/>
      <c r="O279" t="str">
        <f t="shared" si="8"/>
        <v/>
      </c>
      <c r="P279">
        <f t="shared" si="9"/>
        <v>0</v>
      </c>
    </row>
    <row r="280" spans="1:16" ht="37.950000000000003" customHeight="1" x14ac:dyDescent="0.3">
      <c r="A280" s="6"/>
      <c r="B280" s="5"/>
      <c r="C280" s="5"/>
      <c r="D280" s="6"/>
      <c r="E280" s="6"/>
      <c r="F280" s="7"/>
      <c r="G280" s="6"/>
      <c r="H280" s="5"/>
      <c r="I280" s="5"/>
      <c r="J280" s="5"/>
      <c r="K280" s="6"/>
      <c r="L280" s="6"/>
      <c r="M280" s="6"/>
      <c r="O280" t="str">
        <f t="shared" si="8"/>
        <v/>
      </c>
      <c r="P280">
        <f t="shared" si="9"/>
        <v>0</v>
      </c>
    </row>
    <row r="281" spans="1:16" ht="37.950000000000003" customHeight="1" x14ac:dyDescent="0.3">
      <c r="A281" s="6"/>
      <c r="B281" s="5"/>
      <c r="C281" s="5"/>
      <c r="D281" s="6"/>
      <c r="E281" s="6"/>
      <c r="F281" s="7"/>
      <c r="G281" s="6"/>
      <c r="H281" s="5"/>
      <c r="I281" s="5"/>
      <c r="J281" s="5"/>
      <c r="K281" s="6"/>
      <c r="L281" s="6"/>
      <c r="M281" s="6"/>
      <c r="O281" t="str">
        <f t="shared" si="8"/>
        <v/>
      </c>
      <c r="P281">
        <f t="shared" si="9"/>
        <v>0</v>
      </c>
    </row>
    <row r="282" spans="1:16" ht="37.950000000000003" customHeight="1" x14ac:dyDescent="0.3">
      <c r="A282" s="6"/>
      <c r="B282" s="5"/>
      <c r="C282" s="5"/>
      <c r="D282" s="6"/>
      <c r="E282" s="6"/>
      <c r="F282" s="7"/>
      <c r="G282" s="6"/>
      <c r="H282" s="5"/>
      <c r="I282" s="5"/>
      <c r="J282" s="5"/>
      <c r="K282" s="6"/>
      <c r="L282" s="6"/>
      <c r="M282" s="6"/>
      <c r="O282" t="str">
        <f t="shared" si="8"/>
        <v/>
      </c>
      <c r="P282">
        <f t="shared" si="9"/>
        <v>0</v>
      </c>
    </row>
    <row r="283" spans="1:16" ht="37.950000000000003" customHeight="1" x14ac:dyDescent="0.3">
      <c r="A283" s="6"/>
      <c r="B283" s="5"/>
      <c r="C283" s="5"/>
      <c r="D283" s="6"/>
      <c r="E283" s="6"/>
      <c r="F283" s="7"/>
      <c r="G283" s="6"/>
      <c r="H283" s="5"/>
      <c r="I283" s="5"/>
      <c r="J283" s="5"/>
      <c r="K283" s="6"/>
      <c r="L283" s="6"/>
      <c r="M283" s="6"/>
      <c r="O283" t="str">
        <f t="shared" si="8"/>
        <v/>
      </c>
      <c r="P283">
        <f t="shared" si="9"/>
        <v>0</v>
      </c>
    </row>
    <row r="284" spans="1:16" ht="37.950000000000003" customHeight="1" x14ac:dyDescent="0.3">
      <c r="A284" s="6"/>
      <c r="B284" s="5"/>
      <c r="C284" s="5"/>
      <c r="D284" s="6"/>
      <c r="E284" s="6"/>
      <c r="F284" s="7"/>
      <c r="G284" s="6"/>
      <c r="H284" s="5"/>
      <c r="I284" s="5"/>
      <c r="J284" s="5"/>
      <c r="K284" s="6"/>
      <c r="L284" s="6"/>
      <c r="M284" s="6"/>
      <c r="O284" t="str">
        <f t="shared" si="8"/>
        <v/>
      </c>
      <c r="P284">
        <f t="shared" si="9"/>
        <v>0</v>
      </c>
    </row>
    <row r="285" spans="1:16" ht="37.950000000000003" customHeight="1" x14ac:dyDescent="0.3">
      <c r="A285" s="6"/>
      <c r="B285" s="5"/>
      <c r="C285" s="5"/>
      <c r="D285" s="6"/>
      <c r="E285" s="6"/>
      <c r="F285" s="7"/>
      <c r="G285" s="6"/>
      <c r="H285" s="5"/>
      <c r="I285" s="5"/>
      <c r="J285" s="5"/>
      <c r="K285" s="6"/>
      <c r="L285" s="6"/>
      <c r="M285" s="6"/>
      <c r="O285" t="str">
        <f t="shared" si="8"/>
        <v/>
      </c>
      <c r="P285">
        <f t="shared" si="9"/>
        <v>0</v>
      </c>
    </row>
    <row r="286" spans="1:16" ht="37.950000000000003" customHeight="1" x14ac:dyDescent="0.3">
      <c r="A286" s="6"/>
      <c r="B286" s="5"/>
      <c r="C286" s="5"/>
      <c r="D286" s="6"/>
      <c r="E286" s="6"/>
      <c r="F286" s="7"/>
      <c r="G286" s="6"/>
      <c r="H286" s="5"/>
      <c r="I286" s="5"/>
      <c r="J286" s="5"/>
      <c r="K286" s="6"/>
      <c r="L286" s="6"/>
      <c r="M286" s="6"/>
      <c r="O286" t="str">
        <f t="shared" si="8"/>
        <v/>
      </c>
      <c r="P286">
        <f t="shared" si="9"/>
        <v>0</v>
      </c>
    </row>
    <row r="287" spans="1:16" ht="37.950000000000003" customHeight="1" x14ac:dyDescent="0.3">
      <c r="A287" s="6"/>
      <c r="B287" s="5"/>
      <c r="C287" s="5"/>
      <c r="D287" s="6"/>
      <c r="E287" s="6"/>
      <c r="F287" s="7"/>
      <c r="G287" s="6"/>
      <c r="H287" s="5"/>
      <c r="I287" s="5"/>
      <c r="J287" s="5"/>
      <c r="K287" s="6"/>
      <c r="L287" s="6"/>
      <c r="M287" s="6"/>
      <c r="O287" t="str">
        <f t="shared" si="8"/>
        <v/>
      </c>
      <c r="P287">
        <f t="shared" si="9"/>
        <v>0</v>
      </c>
    </row>
    <row r="288" spans="1:16" ht="37.950000000000003" customHeight="1" x14ac:dyDescent="0.3">
      <c r="A288" s="6"/>
      <c r="B288" s="5"/>
      <c r="C288" s="5"/>
      <c r="D288" s="6"/>
      <c r="E288" s="6"/>
      <c r="F288" s="7"/>
      <c r="G288" s="6"/>
      <c r="H288" s="5"/>
      <c r="I288" s="5"/>
      <c r="J288" s="5"/>
      <c r="K288" s="6"/>
      <c r="L288" s="6"/>
      <c r="M288" s="6"/>
      <c r="O288" t="str">
        <f t="shared" si="8"/>
        <v/>
      </c>
      <c r="P288">
        <f t="shared" si="9"/>
        <v>0</v>
      </c>
    </row>
    <row r="289" spans="1:16" ht="37.950000000000003" customHeight="1" x14ac:dyDescent="0.3">
      <c r="A289" s="6"/>
      <c r="B289" s="5"/>
      <c r="C289" s="5"/>
      <c r="D289" s="6"/>
      <c r="E289" s="6"/>
      <c r="F289" s="7"/>
      <c r="G289" s="6"/>
      <c r="H289" s="5"/>
      <c r="I289" s="5"/>
      <c r="J289" s="5"/>
      <c r="K289" s="6"/>
      <c r="L289" s="6"/>
      <c r="M289" s="6"/>
      <c r="O289" t="str">
        <f t="shared" si="8"/>
        <v/>
      </c>
      <c r="P289">
        <f t="shared" si="9"/>
        <v>0</v>
      </c>
    </row>
    <row r="290" spans="1:16" ht="37.950000000000003" customHeight="1" x14ac:dyDescent="0.3">
      <c r="A290" s="6"/>
      <c r="B290" s="5"/>
      <c r="C290" s="5"/>
      <c r="D290" s="6"/>
      <c r="E290" s="6"/>
      <c r="F290" s="7"/>
      <c r="G290" s="6"/>
      <c r="H290" s="5"/>
      <c r="I290" s="5"/>
      <c r="J290" s="5"/>
      <c r="K290" s="6"/>
      <c r="L290" s="6"/>
      <c r="M290" s="6"/>
      <c r="O290" t="str">
        <f t="shared" si="8"/>
        <v/>
      </c>
      <c r="P290">
        <f t="shared" si="9"/>
        <v>0</v>
      </c>
    </row>
    <row r="291" spans="1:16" ht="37.950000000000003" customHeight="1" x14ac:dyDescent="0.3">
      <c r="A291" s="6"/>
      <c r="B291" s="5"/>
      <c r="C291" s="5"/>
      <c r="D291" s="6"/>
      <c r="E291" s="6"/>
      <c r="F291" s="7"/>
      <c r="G291" s="6"/>
      <c r="H291" s="5"/>
      <c r="I291" s="5"/>
      <c r="J291" s="5"/>
      <c r="K291" s="6"/>
      <c r="L291" s="6"/>
      <c r="M291" s="6"/>
      <c r="O291" t="str">
        <f t="shared" si="8"/>
        <v/>
      </c>
      <c r="P291">
        <f t="shared" si="9"/>
        <v>0</v>
      </c>
    </row>
    <row r="292" spans="1:16" ht="37.950000000000003" customHeight="1" x14ac:dyDescent="0.3">
      <c r="A292" s="6"/>
      <c r="B292" s="5"/>
      <c r="C292" s="5"/>
      <c r="D292" s="6"/>
      <c r="E292" s="6"/>
      <c r="F292" s="7"/>
      <c r="G292" s="6"/>
      <c r="H292" s="5"/>
      <c r="I292" s="5"/>
      <c r="J292" s="5"/>
      <c r="K292" s="6"/>
      <c r="L292" s="6"/>
      <c r="M292" s="6"/>
      <c r="O292" t="str">
        <f t="shared" si="8"/>
        <v/>
      </c>
      <c r="P292">
        <f t="shared" si="9"/>
        <v>0</v>
      </c>
    </row>
    <row r="293" spans="1:16" ht="37.950000000000003" customHeight="1" x14ac:dyDescent="0.3">
      <c r="A293" s="6"/>
      <c r="B293" s="5"/>
      <c r="C293" s="5"/>
      <c r="D293" s="6"/>
      <c r="E293" s="6"/>
      <c r="F293" s="7"/>
      <c r="G293" s="6"/>
      <c r="H293" s="5"/>
      <c r="I293" s="5"/>
      <c r="J293" s="5"/>
      <c r="K293" s="6"/>
      <c r="L293" s="6"/>
      <c r="M293" s="6"/>
      <c r="O293" t="str">
        <f t="shared" si="8"/>
        <v/>
      </c>
      <c r="P293">
        <f t="shared" si="9"/>
        <v>0</v>
      </c>
    </row>
    <row r="294" spans="1:16" ht="37.950000000000003" customHeight="1" x14ac:dyDescent="0.3">
      <c r="A294" s="6"/>
      <c r="B294" s="5"/>
      <c r="C294" s="5"/>
      <c r="D294" s="6"/>
      <c r="E294" s="6"/>
      <c r="F294" s="7"/>
      <c r="G294" s="6"/>
      <c r="H294" s="5"/>
      <c r="I294" s="5"/>
      <c r="J294" s="5"/>
      <c r="K294" s="6"/>
      <c r="L294" s="6"/>
      <c r="M294" s="6"/>
      <c r="O294" t="str">
        <f t="shared" si="8"/>
        <v/>
      </c>
      <c r="P294">
        <f t="shared" si="9"/>
        <v>0</v>
      </c>
    </row>
    <row r="295" spans="1:16" ht="37.950000000000003" customHeight="1" x14ac:dyDescent="0.3">
      <c r="A295" s="6"/>
      <c r="B295" s="5"/>
      <c r="C295" s="5"/>
      <c r="D295" s="6"/>
      <c r="E295" s="6"/>
      <c r="F295" s="7"/>
      <c r="G295" s="6"/>
      <c r="H295" s="5"/>
      <c r="I295" s="5"/>
      <c r="J295" s="5"/>
      <c r="K295" s="6"/>
      <c r="L295" s="6"/>
      <c r="M295" s="6"/>
      <c r="O295" t="str">
        <f t="shared" si="8"/>
        <v/>
      </c>
      <c r="P295">
        <f t="shared" si="9"/>
        <v>0</v>
      </c>
    </row>
    <row r="296" spans="1:16" ht="37.950000000000003" customHeight="1" x14ac:dyDescent="0.3">
      <c r="A296" s="6"/>
      <c r="B296" s="5"/>
      <c r="C296" s="5"/>
      <c r="D296" s="6"/>
      <c r="E296" s="6"/>
      <c r="F296" s="7"/>
      <c r="G296" s="6"/>
      <c r="H296" s="5"/>
      <c r="I296" s="5"/>
      <c r="J296" s="5"/>
      <c r="K296" s="6"/>
      <c r="L296" s="6"/>
      <c r="M296" s="6"/>
      <c r="O296" t="str">
        <f t="shared" si="8"/>
        <v/>
      </c>
      <c r="P296">
        <f t="shared" si="9"/>
        <v>0</v>
      </c>
    </row>
    <row r="297" spans="1:16" ht="37.950000000000003" customHeight="1" x14ac:dyDescent="0.3">
      <c r="A297" s="6"/>
      <c r="B297" s="5"/>
      <c r="C297" s="5"/>
      <c r="D297" s="6"/>
      <c r="E297" s="6"/>
      <c r="F297" s="7"/>
      <c r="G297" s="6"/>
      <c r="H297" s="5"/>
      <c r="I297" s="5"/>
      <c r="J297" s="5"/>
      <c r="K297" s="6"/>
      <c r="L297" s="6"/>
      <c r="M297" s="6"/>
      <c r="O297" t="str">
        <f t="shared" si="8"/>
        <v/>
      </c>
      <c r="P297">
        <f t="shared" si="9"/>
        <v>0</v>
      </c>
    </row>
    <row r="298" spans="1:16" ht="37.950000000000003" customHeight="1" x14ac:dyDescent="0.3">
      <c r="A298" s="6"/>
      <c r="B298" s="5"/>
      <c r="C298" s="5"/>
      <c r="D298" s="6"/>
      <c r="E298" s="6"/>
      <c r="F298" s="7"/>
      <c r="G298" s="6"/>
      <c r="H298" s="5"/>
      <c r="I298" s="5"/>
      <c r="J298" s="5"/>
      <c r="K298" s="6"/>
      <c r="L298" s="6"/>
      <c r="M298" s="6"/>
      <c r="O298" t="str">
        <f t="shared" si="8"/>
        <v/>
      </c>
      <c r="P298">
        <f t="shared" si="9"/>
        <v>0</v>
      </c>
    </row>
    <row r="299" spans="1:16" ht="37.950000000000003" customHeight="1" x14ac:dyDescent="0.3">
      <c r="A299" s="6"/>
      <c r="B299" s="5"/>
      <c r="C299" s="5"/>
      <c r="D299" s="6"/>
      <c r="E299" s="6"/>
      <c r="F299" s="7"/>
      <c r="G299" s="6"/>
      <c r="H299" s="5"/>
      <c r="I299" s="5"/>
      <c r="J299" s="5"/>
      <c r="K299" s="6"/>
      <c r="L299" s="6"/>
      <c r="M299" s="6"/>
      <c r="O299" t="str">
        <f t="shared" si="8"/>
        <v/>
      </c>
      <c r="P299">
        <f t="shared" si="9"/>
        <v>0</v>
      </c>
    </row>
    <row r="300" spans="1:16" ht="37.950000000000003" customHeight="1" x14ac:dyDescent="0.3">
      <c r="A300" s="6"/>
      <c r="B300" s="5"/>
      <c r="C300" s="5"/>
      <c r="D300" s="6"/>
      <c r="E300" s="6"/>
      <c r="F300" s="7"/>
      <c r="G300" s="6"/>
      <c r="H300" s="5"/>
      <c r="I300" s="5"/>
      <c r="J300" s="5"/>
      <c r="K300" s="6"/>
      <c r="L300" s="6"/>
      <c r="M300" s="6"/>
      <c r="O300" t="str">
        <f t="shared" si="8"/>
        <v/>
      </c>
      <c r="P300">
        <f t="shared" si="9"/>
        <v>0</v>
      </c>
    </row>
    <row r="301" spans="1:16" ht="37.950000000000003" customHeight="1" x14ac:dyDescent="0.3">
      <c r="A301" s="6"/>
      <c r="B301" s="5"/>
      <c r="C301" s="5"/>
      <c r="D301" s="6"/>
      <c r="E301" s="6"/>
      <c r="F301" s="7"/>
      <c r="G301" s="6"/>
      <c r="H301" s="5"/>
      <c r="I301" s="5"/>
      <c r="J301" s="5"/>
      <c r="K301" s="6"/>
      <c r="L301" s="6"/>
      <c r="M301" s="6"/>
      <c r="O301" t="str">
        <f t="shared" si="8"/>
        <v/>
      </c>
      <c r="P301">
        <f t="shared" si="9"/>
        <v>0</v>
      </c>
    </row>
    <row r="302" spans="1:16" ht="37.950000000000003" customHeight="1" x14ac:dyDescent="0.3">
      <c r="A302" s="6"/>
      <c r="B302" s="5"/>
      <c r="C302" s="5"/>
      <c r="D302" s="6"/>
      <c r="E302" s="6"/>
      <c r="F302" s="7"/>
      <c r="G302" s="6"/>
      <c r="H302" s="5"/>
      <c r="I302" s="5"/>
      <c r="J302" s="5"/>
      <c r="K302" s="6"/>
      <c r="L302" s="6"/>
      <c r="M302" s="6"/>
      <c r="O302" t="str">
        <f t="shared" si="8"/>
        <v/>
      </c>
      <c r="P302">
        <f t="shared" si="9"/>
        <v>0</v>
      </c>
    </row>
    <row r="303" spans="1:16" ht="37.950000000000003" customHeight="1" x14ac:dyDescent="0.3">
      <c r="A303" s="6"/>
      <c r="B303" s="5"/>
      <c r="C303" s="5"/>
      <c r="D303" s="6"/>
      <c r="E303" s="6"/>
      <c r="F303" s="7"/>
      <c r="G303" s="6"/>
      <c r="H303" s="5"/>
      <c r="I303" s="5"/>
      <c r="J303" s="5"/>
      <c r="K303" s="6"/>
      <c r="L303" s="6"/>
      <c r="M303" s="6"/>
      <c r="O303" t="str">
        <f t="shared" si="8"/>
        <v/>
      </c>
      <c r="P303">
        <f t="shared" si="9"/>
        <v>0</v>
      </c>
    </row>
    <row r="304" spans="1:16" ht="37.950000000000003" customHeight="1" x14ac:dyDescent="0.3">
      <c r="A304" s="6"/>
      <c r="B304" s="5"/>
      <c r="C304" s="5"/>
      <c r="D304" s="6"/>
      <c r="E304" s="6"/>
      <c r="F304" s="7"/>
      <c r="G304" s="6"/>
      <c r="H304" s="5"/>
      <c r="I304" s="5"/>
      <c r="J304" s="5"/>
      <c r="K304" s="6"/>
      <c r="L304" s="6"/>
      <c r="M304" s="6"/>
      <c r="O304" t="str">
        <f t="shared" si="8"/>
        <v/>
      </c>
      <c r="P304">
        <f t="shared" si="9"/>
        <v>0</v>
      </c>
    </row>
  </sheetData>
  <autoFilter ref="A4:M304" xr:uid="{00000000-0009-0000-0000-000000000000}"/>
  <mergeCells count="2">
    <mergeCell ref="A2:M2"/>
    <mergeCell ref="A1:M1"/>
  </mergeCells>
  <conditionalFormatting sqref="K5:K304">
    <cfRule type="expression" dxfId="5" priority="7">
      <formula>$K5="High"</formula>
    </cfRule>
    <cfRule type="expression" dxfId="4" priority="8">
      <formula>$K5="Medium"</formula>
    </cfRule>
    <cfRule type="expression" dxfId="3" priority="9">
      <formula>$K5="Low"</formula>
    </cfRule>
  </conditionalFormatting>
  <conditionalFormatting sqref="L5:L304">
    <cfRule type="expression" dxfId="2" priority="10">
      <formula>$L5="Not Reviewed"</formula>
    </cfRule>
    <cfRule type="expression" dxfId="1" priority="11">
      <formula>$L5="Reviewing"</formula>
    </cfRule>
    <cfRule type="expression" dxfId="0" priority="12">
      <formula>$L5="Mastered"</formula>
    </cfRule>
  </conditionalFormatting>
  <dataValidations count="8">
    <dataValidation type="list" allowBlank="1" showInputMessage="1" promptTitle="Dropdown - start here" prompt="DROPDOWN - click the small arrow at the right edge of this cell._x000a_Reading &amp; Writing, or Math. This fills the Topic dropdown in this row." sqref="B5:B304" xr:uid="{00000000-0002-0000-0000-000000000000}">
      <formula1>SectionList</formula1>
    </dataValidation>
    <dataValidation type="list" allowBlank="1" showInputMessage="1" promptTitle="Dropdown - needs Section" prompt="DROPDOWN - click the small arrow at the right edge of this cell._x000a_Topics depend on the Section in column B of this row." sqref="C5:C304" xr:uid="{00000000-0002-0000-0000-000001000000}">
      <formula1>INDIRECT($O5)</formula1>
    </dataValidation>
    <dataValidation type="list" allowBlank="1" showInputMessage="1" promptTitle="Dropdown" prompt="DROPDOWN - click the small arrow at the right edge of this cell._x000a_Bluebook practice tests 4 to 11." sqref="D5:D304" xr:uid="{00000000-0002-0000-0000-000002000000}">
      <formula1>TestList</formula1>
    </dataValidation>
    <dataValidation type="list" allowBlank="1" showInputMessage="1" promptTitle="Dropdown" prompt="DROPDOWN - click the small arrow at the right edge of this cell._x000a_Digital SAT question numbers restart in Module 2, so this keeps Q # unambiguous." sqref="E5:E304" xr:uid="{00000000-0002-0000-0000-000003000000}">
      <formula1>ModuleList</formula1>
    </dataValidation>
    <dataValidation type="list" allowBlank="1" showInputMessage="1" promptTitle="Dropdown" prompt="DROPDOWN - click the small arrow at the right edge of this cell._x000a_What kind of error was it? The Dashboard charts this." sqref="G5:G304" xr:uid="{00000000-0002-0000-0000-000004000000}">
      <formula1>TypeList</formula1>
    </dataValidation>
    <dataValidation type="list" allowBlank="1" showInputMessage="1" promptTitle="Dropdown" prompt="DROPDOWN - click the small arrow at the right edge of this cell._x000a_High turns red, Medium yellow, Low green." sqref="K5:K304" xr:uid="{00000000-0002-0000-0000-000005000000}">
      <formula1>PriorityList</formula1>
    </dataValidation>
    <dataValidation type="list" allowBlank="1" showInputMessage="1" promptTitle="Dropdown" prompt="DROPDOWN - click the small arrow at the right edge of this cell._x000a_Not Reviewed red, Reviewing yellow, Mastered green." sqref="L5:L304" xr:uid="{00000000-0002-0000-0000-000006000000}">
      <formula1>StatusList</formula1>
    </dataValidation>
    <dataValidation type="whole" allowBlank="1" showInputMessage="1" showErrorMessage="1" errorTitle="Numbers only" error="Type just the question number (1-60), not &quot;Q12&quot;." promptTitle="Just the number" prompt="Type only the digits, e.g. 12. Excel shows it as Q12." sqref="F5:F304" xr:uid="{00000000-0002-0000-0000-000007000000}">
      <formula1>1</formula1>
      <formula2>60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0"/>
  <sheetViews>
    <sheetView showGridLines="0" zoomScaleNormal="100" workbookViewId="0"/>
  </sheetViews>
  <sheetFormatPr defaultColWidth="8.6640625" defaultRowHeight="14.4" x14ac:dyDescent="0.3"/>
  <cols>
    <col min="1" max="1" width="38" customWidth="1"/>
    <col min="2" max="2" width="14" customWidth="1"/>
    <col min="3" max="3" width="3" customWidth="1"/>
    <col min="4" max="4" width="30" customWidth="1"/>
    <col min="5" max="5" width="14" customWidth="1"/>
  </cols>
  <sheetData>
    <row r="1" spans="1:5" ht="31.5" customHeight="1" x14ac:dyDescent="0.3">
      <c r="A1" s="12" t="s">
        <v>25</v>
      </c>
    </row>
    <row r="3" spans="1:5" ht="16.2" customHeight="1" x14ac:dyDescent="0.3">
      <c r="A3" s="13" t="s">
        <v>26</v>
      </c>
      <c r="D3" s="13" t="s">
        <v>27</v>
      </c>
    </row>
    <row r="4" spans="1:5" ht="15" customHeight="1" x14ac:dyDescent="0.3">
      <c r="A4" s="14" t="s">
        <v>28</v>
      </c>
      <c r="B4" s="14" t="s">
        <v>29</v>
      </c>
      <c r="D4" s="14" t="s">
        <v>30</v>
      </c>
      <c r="E4" s="14" t="s">
        <v>29</v>
      </c>
    </row>
    <row r="5" spans="1:5" ht="15" customHeight="1" x14ac:dyDescent="0.3">
      <c r="A5" s="1" t="s">
        <v>31</v>
      </c>
      <c r="B5" s="1">
        <f>COUNTIF('Mistake Log'!$B$5:$B$304,A5)</f>
        <v>0</v>
      </c>
      <c r="D5" s="2" t="s">
        <v>32</v>
      </c>
      <c r="E5" s="1">
        <f>COUNTIF('Mistake Log'!$G$5:$G$304,D5)</f>
        <v>0</v>
      </c>
    </row>
    <row r="6" spans="1:5" ht="15" customHeight="1" x14ac:dyDescent="0.3">
      <c r="A6" s="1" t="s">
        <v>15</v>
      </c>
      <c r="B6" s="1">
        <f>COUNTIF('Mistake Log'!$B$5:$B$304,A6)</f>
        <v>1</v>
      </c>
      <c r="D6" s="2" t="s">
        <v>33</v>
      </c>
      <c r="E6" s="1">
        <f>COUNTIF('Mistake Log'!$G$5:$G$304,D6)</f>
        <v>0</v>
      </c>
    </row>
    <row r="7" spans="1:5" ht="15" customHeight="1" x14ac:dyDescent="0.3">
      <c r="A7" s="1"/>
      <c r="B7" s="1"/>
      <c r="D7" s="2" t="s">
        <v>34</v>
      </c>
      <c r="E7" s="1">
        <f>COUNTIF('Mistake Log'!$G$5:$G$304,D7)</f>
        <v>0</v>
      </c>
    </row>
    <row r="8" spans="1:5" ht="15" customHeight="1" x14ac:dyDescent="0.3">
      <c r="A8" s="1"/>
      <c r="B8" s="1"/>
      <c r="D8" s="2" t="s">
        <v>35</v>
      </c>
      <c r="E8" s="1">
        <f>COUNTIF('Mistake Log'!$G$5:$G$304,D8)</f>
        <v>0</v>
      </c>
    </row>
    <row r="9" spans="1:5" ht="15" customHeight="1" x14ac:dyDescent="0.3">
      <c r="D9" s="2" t="s">
        <v>19</v>
      </c>
      <c r="E9" s="1">
        <f>COUNTIF('Mistake Log'!$G$5:$G$304,D9)</f>
        <v>1</v>
      </c>
    </row>
    <row r="10" spans="1:5" ht="15" customHeight="1" x14ac:dyDescent="0.3">
      <c r="D10" s="2" t="s">
        <v>36</v>
      </c>
      <c r="E10" s="1">
        <f>COUNTIF('Mistake Log'!$G$5:$G$304,D10)</f>
        <v>0</v>
      </c>
    </row>
    <row r="11" spans="1:5" ht="15" customHeight="1" x14ac:dyDescent="0.3">
      <c r="D11" s="2" t="s">
        <v>37</v>
      </c>
      <c r="E11" s="1">
        <f>COUNTIF('Mistake Log'!$G$5:$G$304,D11)</f>
        <v>0</v>
      </c>
    </row>
    <row r="12" spans="1:5" ht="15" customHeight="1" x14ac:dyDescent="0.3">
      <c r="D12" s="2" t="s">
        <v>38</v>
      </c>
      <c r="E12" s="1">
        <f>COUNTIF('Mistake Log'!$G$5:$G$304,D12)</f>
        <v>0</v>
      </c>
    </row>
    <row r="13" spans="1:5" ht="15" customHeight="1" x14ac:dyDescent="0.3">
      <c r="D13" s="2" t="s">
        <v>39</v>
      </c>
      <c r="E13" s="1">
        <f>COUNTIF('Mistake Log'!$G$5:$G$304,D13)</f>
        <v>0</v>
      </c>
    </row>
    <row r="16" spans="1:5" ht="16.2" customHeight="1" x14ac:dyDescent="0.3">
      <c r="A16" s="13" t="s">
        <v>40</v>
      </c>
      <c r="D16" s="13" t="s">
        <v>41</v>
      </c>
    </row>
    <row r="17" spans="1:5" ht="15" customHeight="1" x14ac:dyDescent="0.3">
      <c r="A17" s="14" t="s">
        <v>42</v>
      </c>
      <c r="B17" s="14" t="s">
        <v>29</v>
      </c>
      <c r="D17" s="14" t="s">
        <v>43</v>
      </c>
      <c r="E17" s="14" t="s">
        <v>29</v>
      </c>
    </row>
    <row r="18" spans="1:5" ht="15" customHeight="1" x14ac:dyDescent="0.3">
      <c r="A18" s="1" t="s">
        <v>44</v>
      </c>
      <c r="B18" s="1">
        <f>COUNTIF('Mistake Log'!$L$5:$L$304,A18)</f>
        <v>0</v>
      </c>
      <c r="D18" t="s">
        <v>23</v>
      </c>
      <c r="E18">
        <f>COUNTIF('Mistake Log'!$K$5:$K$304,D18)</f>
        <v>1</v>
      </c>
    </row>
    <row r="19" spans="1:5" ht="15" customHeight="1" x14ac:dyDescent="0.3">
      <c r="A19" s="1" t="s">
        <v>24</v>
      </c>
      <c r="B19" s="1">
        <f>COUNTIF('Mistake Log'!$L$5:$L$304,A19)</f>
        <v>1</v>
      </c>
      <c r="D19" t="s">
        <v>45</v>
      </c>
      <c r="E19">
        <f>COUNTIF('Mistake Log'!$K$5:$K$304,D19)</f>
        <v>0</v>
      </c>
    </row>
    <row r="20" spans="1:5" ht="15" customHeight="1" x14ac:dyDescent="0.3">
      <c r="A20" s="1" t="s">
        <v>46</v>
      </c>
      <c r="B20" s="1">
        <f>COUNTIF('Mistake Log'!$L$5:$L$304,A20)</f>
        <v>0</v>
      </c>
      <c r="D20" t="s">
        <v>47</v>
      </c>
      <c r="E20">
        <f>COUNTIF('Mistake Log'!$K$5:$K$304,D20)</f>
        <v>0</v>
      </c>
    </row>
    <row r="22" spans="1:5" ht="15" customHeight="1" x14ac:dyDescent="0.3">
      <c r="A22" s="15" t="s">
        <v>48</v>
      </c>
      <c r="B22" s="13">
        <f>SUM('Mistake Log'!$P$5:$P$304)</f>
        <v>1</v>
      </c>
    </row>
    <row r="25" spans="1:5" ht="17.399999999999999" x14ac:dyDescent="0.35">
      <c r="A25" s="16" t="s">
        <v>49</v>
      </c>
      <c r="D25" s="13" t="s">
        <v>50</v>
      </c>
    </row>
    <row r="26" spans="1:5" x14ac:dyDescent="0.3">
      <c r="A26" s="14" t="s">
        <v>51</v>
      </c>
      <c r="B26" s="14" t="s">
        <v>52</v>
      </c>
      <c r="D26" s="14" t="s">
        <v>53</v>
      </c>
      <c r="E26" s="14" t="s">
        <v>29</v>
      </c>
    </row>
    <row r="27" spans="1:5" x14ac:dyDescent="0.3">
      <c r="A27" t="str">
        <f>IF(INDEX(Lists!$K$2:$K$31,MATCH(LARGE(Lists!$L$2:$L$31,1),Lists!$L$2:$L$31,0))=0,"",INDEX(Lists!$J$2:$J$31,MATCH(LARGE(Lists!$L$2:$L$31,1),Lists!$L$2:$L$31,0)))</f>
        <v>Systems of Linear Equations</v>
      </c>
      <c r="B27">
        <f>IF(INDEX(Lists!$K$2:$K$31,MATCH(LARGE(Lists!$L$2:$L$31,1),Lists!$L$2:$L$31,0))=0,"",INDEX(Lists!$K$2:$K$31,MATCH(LARGE(Lists!$L$2:$L$31,1),Lists!$L$2:$L$31,0)))</f>
        <v>1</v>
      </c>
      <c r="D27" t="s">
        <v>17</v>
      </c>
      <c r="E27">
        <f>COUNTIF('Mistake Log'!$D$5:$D$304,D27)</f>
        <v>1</v>
      </c>
    </row>
    <row r="28" spans="1:5" x14ac:dyDescent="0.3">
      <c r="A28" t="str">
        <f>IF(INDEX(Lists!$K$2:$K$31,MATCH(LARGE(Lists!$L$2:$L$31,2),Lists!$L$2:$L$31,0))=0,"",INDEX(Lists!$J$2:$J$31,MATCH(LARGE(Lists!$L$2:$L$31,2),Lists!$L$2:$L$31,0)))</f>
        <v/>
      </c>
      <c r="B28" t="str">
        <f>IF(INDEX(Lists!$K$2:$K$31,MATCH(LARGE(Lists!$L$2:$L$31,2),Lists!$L$2:$L$31,0))=0,"",INDEX(Lists!$K$2:$K$31,MATCH(LARGE(Lists!$L$2:$L$31,2),Lists!$L$2:$L$31,0)))</f>
        <v/>
      </c>
      <c r="D28" t="s">
        <v>54</v>
      </c>
      <c r="E28">
        <f>COUNTIF('Mistake Log'!$D$5:$D$304,D28)</f>
        <v>0</v>
      </c>
    </row>
    <row r="29" spans="1:5" x14ac:dyDescent="0.3">
      <c r="A29" t="str">
        <f>IF(INDEX(Lists!$K$2:$K$31,MATCH(LARGE(Lists!$L$2:$L$31,3),Lists!$L$2:$L$31,0))=0,"",INDEX(Lists!$J$2:$J$31,MATCH(LARGE(Lists!$L$2:$L$31,3),Lists!$L$2:$L$31,0)))</f>
        <v/>
      </c>
      <c r="B29" t="str">
        <f>IF(INDEX(Lists!$K$2:$K$31,MATCH(LARGE(Lists!$L$2:$L$31,3),Lists!$L$2:$L$31,0))=0,"",INDEX(Lists!$K$2:$K$31,MATCH(LARGE(Lists!$L$2:$L$31,3),Lists!$L$2:$L$31,0)))</f>
        <v/>
      </c>
      <c r="D29" t="s">
        <v>55</v>
      </c>
      <c r="E29">
        <f>COUNTIF('Mistake Log'!$D$5:$D$304,D29)</f>
        <v>0</v>
      </c>
    </row>
    <row r="30" spans="1:5" x14ac:dyDescent="0.3">
      <c r="A30" t="str">
        <f>IF(INDEX(Lists!$K$2:$K$31,MATCH(LARGE(Lists!$L$2:$L$31,4),Lists!$L$2:$L$31,0))=0,"",INDEX(Lists!$J$2:$J$31,MATCH(LARGE(Lists!$L$2:$L$31,4),Lists!$L$2:$L$31,0)))</f>
        <v/>
      </c>
      <c r="B30" t="str">
        <f>IF(INDEX(Lists!$K$2:$K$31,MATCH(LARGE(Lists!$L$2:$L$31,4),Lists!$L$2:$L$31,0))=0,"",INDEX(Lists!$K$2:$K$31,MATCH(LARGE(Lists!$L$2:$L$31,4),Lists!$L$2:$L$31,0)))</f>
        <v/>
      </c>
      <c r="D30" t="s">
        <v>56</v>
      </c>
      <c r="E30">
        <f>COUNTIF('Mistake Log'!$D$5:$D$304,D30)</f>
        <v>0</v>
      </c>
    </row>
    <row r="31" spans="1:5" x14ac:dyDescent="0.3">
      <c r="A31" t="str">
        <f>IF(INDEX(Lists!$K$2:$K$31,MATCH(LARGE(Lists!$L$2:$L$31,5),Lists!$L$2:$L$31,0))=0,"",INDEX(Lists!$J$2:$J$31,MATCH(LARGE(Lists!$L$2:$L$31,5),Lists!$L$2:$L$31,0)))</f>
        <v/>
      </c>
      <c r="B31" t="str">
        <f>IF(INDEX(Lists!$K$2:$K$31,MATCH(LARGE(Lists!$L$2:$L$31,5),Lists!$L$2:$L$31,0))=0,"",INDEX(Lists!$K$2:$K$31,MATCH(LARGE(Lists!$L$2:$L$31,5),Lists!$L$2:$L$31,0)))</f>
        <v/>
      </c>
      <c r="D31" t="s">
        <v>57</v>
      </c>
      <c r="E31">
        <f>COUNTIF('Mistake Log'!$D$5:$D$304,D31)</f>
        <v>0</v>
      </c>
    </row>
    <row r="32" spans="1:5" x14ac:dyDescent="0.3">
      <c r="A32" t="str">
        <f>IF(INDEX(Lists!$K$2:$K$31,MATCH(LARGE(Lists!$L$2:$L$31,6),Lists!$L$2:$L$31,0))=0,"",INDEX(Lists!$J$2:$J$31,MATCH(LARGE(Lists!$L$2:$L$31,6),Lists!$L$2:$L$31,0)))</f>
        <v/>
      </c>
      <c r="B32" t="str">
        <f>IF(INDEX(Lists!$K$2:$K$31,MATCH(LARGE(Lists!$L$2:$L$31,6),Lists!$L$2:$L$31,0))=0,"",INDEX(Lists!$K$2:$K$31,MATCH(LARGE(Lists!$L$2:$L$31,6),Lists!$L$2:$L$31,0)))</f>
        <v/>
      </c>
      <c r="D32" t="s">
        <v>58</v>
      </c>
      <c r="E32">
        <f>COUNTIF('Mistake Log'!$D$5:$D$304,D32)</f>
        <v>0</v>
      </c>
    </row>
    <row r="33" spans="1:5" x14ac:dyDescent="0.3">
      <c r="A33" t="str">
        <f>IF(INDEX(Lists!$K$2:$K$31,MATCH(LARGE(Lists!$L$2:$L$31,7),Lists!$L$2:$L$31,0))=0,"",INDEX(Lists!$J$2:$J$31,MATCH(LARGE(Lists!$L$2:$L$31,7),Lists!$L$2:$L$31,0)))</f>
        <v/>
      </c>
      <c r="B33" t="str">
        <f>IF(INDEX(Lists!$K$2:$K$31,MATCH(LARGE(Lists!$L$2:$L$31,7),Lists!$L$2:$L$31,0))=0,"",INDEX(Lists!$K$2:$K$31,MATCH(LARGE(Lists!$L$2:$L$31,7),Lists!$L$2:$L$31,0)))</f>
        <v/>
      </c>
      <c r="D33" t="s">
        <v>59</v>
      </c>
      <c r="E33">
        <f>COUNTIF('Mistake Log'!$D$5:$D$304,D33)</f>
        <v>0</v>
      </c>
    </row>
    <row r="34" spans="1:5" x14ac:dyDescent="0.3">
      <c r="A34" t="str">
        <f>IF(INDEX(Lists!$K$2:$K$31,MATCH(LARGE(Lists!$L$2:$L$31,8),Lists!$L$2:$L$31,0))=0,"",INDEX(Lists!$J$2:$J$31,MATCH(LARGE(Lists!$L$2:$L$31,8),Lists!$L$2:$L$31,0)))</f>
        <v/>
      </c>
      <c r="B34" t="str">
        <f>IF(INDEX(Lists!$K$2:$K$31,MATCH(LARGE(Lists!$L$2:$L$31,8),Lists!$L$2:$L$31,0))=0,"",INDEX(Lists!$K$2:$K$31,MATCH(LARGE(Lists!$L$2:$L$31,8),Lists!$L$2:$L$31,0)))</f>
        <v/>
      </c>
      <c r="D34" t="s">
        <v>60</v>
      </c>
      <c r="E34">
        <f>COUNTIF('Mistake Log'!$D$5:$D$304,D34)</f>
        <v>0</v>
      </c>
    </row>
    <row r="35" spans="1:5" x14ac:dyDescent="0.3">
      <c r="A35" t="str">
        <f>IF(INDEX(Lists!$K$2:$K$31,MATCH(LARGE(Lists!$L$2:$L$31,9),Lists!$L$2:$L$31,0))=0,"",INDEX(Lists!$J$2:$J$31,MATCH(LARGE(Lists!$L$2:$L$31,9),Lists!$L$2:$L$31,0)))</f>
        <v/>
      </c>
      <c r="B35" t="str">
        <f>IF(INDEX(Lists!$K$2:$K$31,MATCH(LARGE(Lists!$L$2:$L$31,9),Lists!$L$2:$L$31,0))=0,"",INDEX(Lists!$K$2:$K$31,MATCH(LARGE(Lists!$L$2:$L$31,9),Lists!$L$2:$L$31,0)))</f>
        <v/>
      </c>
      <c r="D35" t="s">
        <v>61</v>
      </c>
      <c r="E35">
        <f>COUNTIF('Mistake Log'!$D$5:$D$304,D35)</f>
        <v>0</v>
      </c>
    </row>
    <row r="36" spans="1:5" x14ac:dyDescent="0.3">
      <c r="A36" t="str">
        <f>IF(INDEX(Lists!$K$2:$K$31,MATCH(LARGE(Lists!$L$2:$L$31,10),Lists!$L$2:$L$31,0))=0,"",INDEX(Lists!$J$2:$J$31,MATCH(LARGE(Lists!$L$2:$L$31,10),Lists!$L$2:$L$31,0)))</f>
        <v/>
      </c>
      <c r="B36" t="str">
        <f>IF(INDEX(Lists!$K$2:$K$31,MATCH(LARGE(Lists!$L$2:$L$31,10),Lists!$L$2:$L$31,0))=0,"",INDEX(Lists!$K$2:$K$31,MATCH(LARGE(Lists!$L$2:$L$31,10),Lists!$L$2:$L$31,0)))</f>
        <v/>
      </c>
    </row>
    <row r="38" spans="1:5" x14ac:dyDescent="0.3">
      <c r="A38" s="17" t="s">
        <v>62</v>
      </c>
    </row>
    <row r="40" spans="1:5" x14ac:dyDescent="0.3">
      <c r="A40" s="18" t="s">
        <v>63</v>
      </c>
    </row>
  </sheetData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7"/>
  <sheetViews>
    <sheetView showGridLines="0" zoomScaleNormal="100" workbookViewId="0"/>
  </sheetViews>
  <sheetFormatPr defaultColWidth="8.6640625" defaultRowHeight="14.4" x14ac:dyDescent="0.3"/>
  <cols>
    <col min="1" max="1" width="105.77734375" customWidth="1"/>
  </cols>
  <sheetData>
    <row r="1" spans="1:1" ht="31.5" customHeight="1" x14ac:dyDescent="0.3">
      <c r="A1" s="23" t="s">
        <v>64</v>
      </c>
    </row>
    <row r="2" spans="1:1" ht="18" customHeight="1" x14ac:dyDescent="0.3">
      <c r="A2" s="24"/>
    </row>
    <row r="3" spans="1:1" ht="18" customHeight="1" x14ac:dyDescent="0.3">
      <c r="A3" s="25" t="s">
        <v>115</v>
      </c>
    </row>
    <row r="4" spans="1:1" ht="18" customHeight="1" x14ac:dyDescent="0.3">
      <c r="A4" s="24" t="s">
        <v>116</v>
      </c>
    </row>
    <row r="5" spans="1:1" ht="18" customHeight="1" x14ac:dyDescent="0.3">
      <c r="A5" s="24"/>
    </row>
    <row r="6" spans="1:1" ht="18" customHeight="1" x14ac:dyDescent="0.3">
      <c r="A6" s="24" t="s">
        <v>65</v>
      </c>
    </row>
    <row r="7" spans="1:1" ht="18" customHeight="1" x14ac:dyDescent="0.3">
      <c r="A7" s="24"/>
    </row>
    <row r="8" spans="1:1" ht="18" customHeight="1" x14ac:dyDescent="0.3">
      <c r="A8" s="24" t="s">
        <v>66</v>
      </c>
    </row>
    <row r="9" spans="1:1" ht="18" customHeight="1" x14ac:dyDescent="0.3">
      <c r="A9" s="24" t="s">
        <v>67</v>
      </c>
    </row>
    <row r="10" spans="1:1" ht="18" customHeight="1" x14ac:dyDescent="0.3">
      <c r="A10" s="24" t="s">
        <v>68</v>
      </c>
    </row>
    <row r="11" spans="1:1" ht="18" customHeight="1" x14ac:dyDescent="0.3">
      <c r="A11" s="24" t="s">
        <v>69</v>
      </c>
    </row>
    <row r="12" spans="1:1" ht="18" customHeight="1" x14ac:dyDescent="0.3">
      <c r="A12" s="24" t="s">
        <v>70</v>
      </c>
    </row>
    <row r="13" spans="1:1" ht="18" customHeight="1" x14ac:dyDescent="0.3">
      <c r="A13" s="24" t="s">
        <v>71</v>
      </c>
    </row>
    <row r="14" spans="1:1" ht="18" customHeight="1" x14ac:dyDescent="0.3">
      <c r="A14" s="24" t="s">
        <v>117</v>
      </c>
    </row>
    <row r="15" spans="1:1" ht="18" customHeight="1" x14ac:dyDescent="0.3">
      <c r="A15" s="24" t="s">
        <v>118</v>
      </c>
    </row>
    <row r="16" spans="1:1" ht="18" customHeight="1" x14ac:dyDescent="0.3">
      <c r="A16" s="24" t="s">
        <v>72</v>
      </c>
    </row>
    <row r="17" spans="1:1" ht="18" customHeight="1" x14ac:dyDescent="0.3">
      <c r="A17" s="24"/>
    </row>
    <row r="18" spans="1:1" ht="18" customHeight="1" x14ac:dyDescent="0.3">
      <c r="A18" s="25" t="s">
        <v>119</v>
      </c>
    </row>
    <row r="19" spans="1:1" ht="18" customHeight="1" x14ac:dyDescent="0.3">
      <c r="A19" s="24" t="s">
        <v>120</v>
      </c>
    </row>
    <row r="20" spans="1:1" ht="18" customHeight="1" x14ac:dyDescent="0.3">
      <c r="A20" s="24" t="s">
        <v>121</v>
      </c>
    </row>
    <row r="21" spans="1:1" x14ac:dyDescent="0.3">
      <c r="A21" s="26" t="s">
        <v>122</v>
      </c>
    </row>
    <row r="22" spans="1:1" x14ac:dyDescent="0.3">
      <c r="A22" s="26" t="s">
        <v>123</v>
      </c>
    </row>
    <row r="23" spans="1:1" x14ac:dyDescent="0.3">
      <c r="A23" s="26" t="s">
        <v>124</v>
      </c>
    </row>
    <row r="24" spans="1:1" x14ac:dyDescent="0.3">
      <c r="A24" s="26" t="s">
        <v>125</v>
      </c>
    </row>
    <row r="25" spans="1:1" x14ac:dyDescent="0.3">
      <c r="A25" s="26" t="s">
        <v>126</v>
      </c>
    </row>
    <row r="26" spans="1:1" x14ac:dyDescent="0.3">
      <c r="A26" s="26" t="s">
        <v>127</v>
      </c>
    </row>
    <row r="27" spans="1:1" x14ac:dyDescent="0.3">
      <c r="A27" s="26" t="s">
        <v>128</v>
      </c>
    </row>
    <row r="28" spans="1:1" x14ac:dyDescent="0.3">
      <c r="A28" s="26" t="s">
        <v>129</v>
      </c>
    </row>
    <row r="29" spans="1:1" x14ac:dyDescent="0.3">
      <c r="A29" s="26"/>
    </row>
    <row r="30" spans="1:1" x14ac:dyDescent="0.3">
      <c r="A30" s="26" t="s">
        <v>73</v>
      </c>
    </row>
    <row r="31" spans="1:1" x14ac:dyDescent="0.3">
      <c r="A31" s="26" t="s">
        <v>130</v>
      </c>
    </row>
    <row r="32" spans="1:1" x14ac:dyDescent="0.3">
      <c r="A32" s="26" t="s">
        <v>74</v>
      </c>
    </row>
    <row r="33" spans="1:1" x14ac:dyDescent="0.3">
      <c r="A33" s="27" t="s">
        <v>75</v>
      </c>
    </row>
    <row r="34" spans="1:1" x14ac:dyDescent="0.3">
      <c r="A34" s="27"/>
    </row>
    <row r="35" spans="1:1" x14ac:dyDescent="0.3">
      <c r="A35" s="27" t="s">
        <v>76</v>
      </c>
    </row>
    <row r="36" spans="1:1" x14ac:dyDescent="0.3">
      <c r="A36" s="27"/>
    </row>
    <row r="37" spans="1:1" x14ac:dyDescent="0.3">
      <c r="A37" s="27" t="s">
        <v>77</v>
      </c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31"/>
  <sheetViews>
    <sheetView workbookViewId="0"/>
  </sheetViews>
  <sheetFormatPr defaultRowHeight="14.4" x14ac:dyDescent="0.3"/>
  <cols>
    <col min="1" max="8" width="34" customWidth="1"/>
    <col min="10" max="12" width="34" customWidth="1"/>
  </cols>
  <sheetData>
    <row r="1" spans="1:12" x14ac:dyDescent="0.3">
      <c r="A1" s="19" t="s">
        <v>28</v>
      </c>
      <c r="B1" s="19" t="s">
        <v>30</v>
      </c>
      <c r="C1" s="19" t="s">
        <v>43</v>
      </c>
      <c r="D1" s="19" t="s">
        <v>42</v>
      </c>
      <c r="E1" s="19" t="s">
        <v>78</v>
      </c>
      <c r="F1" s="19" t="s">
        <v>31</v>
      </c>
      <c r="G1" s="19" t="s">
        <v>15</v>
      </c>
      <c r="H1" s="19" t="s">
        <v>79</v>
      </c>
      <c r="J1" s="19" t="s">
        <v>80</v>
      </c>
      <c r="K1" s="19" t="s">
        <v>81</v>
      </c>
      <c r="L1" s="19" t="s">
        <v>82</v>
      </c>
    </row>
    <row r="2" spans="1:12" x14ac:dyDescent="0.3">
      <c r="A2" t="s">
        <v>31</v>
      </c>
      <c r="B2" t="s">
        <v>32</v>
      </c>
      <c r="C2" t="s">
        <v>23</v>
      </c>
      <c r="D2" t="s">
        <v>44</v>
      </c>
      <c r="E2" t="s">
        <v>17</v>
      </c>
      <c r="F2" t="s">
        <v>83</v>
      </c>
      <c r="G2" t="s">
        <v>84</v>
      </c>
      <c r="H2" t="s">
        <v>85</v>
      </c>
      <c r="J2" t="s">
        <v>83</v>
      </c>
      <c r="K2">
        <f>COUNTIF('Mistake Log'!$C$5:$C$304,$J2)</f>
        <v>0</v>
      </c>
      <c r="L2">
        <f t="shared" ref="L2:L31" si="0">$K2+ROW()/100000</f>
        <v>2.0000000000000002E-5</v>
      </c>
    </row>
    <row r="3" spans="1:12" x14ac:dyDescent="0.3">
      <c r="A3" t="s">
        <v>15</v>
      </c>
      <c r="B3" t="s">
        <v>33</v>
      </c>
      <c r="C3" t="s">
        <v>45</v>
      </c>
      <c r="D3" t="s">
        <v>24</v>
      </c>
      <c r="E3" t="s">
        <v>54</v>
      </c>
      <c r="F3" t="s">
        <v>86</v>
      </c>
      <c r="G3" t="s">
        <v>87</v>
      </c>
      <c r="H3" t="s">
        <v>18</v>
      </c>
      <c r="J3" t="s">
        <v>86</v>
      </c>
      <c r="K3">
        <f>COUNTIF('Mistake Log'!$C$5:$C$304,$J3)</f>
        <v>0</v>
      </c>
      <c r="L3">
        <f t="shared" si="0"/>
        <v>3.0000000000000001E-5</v>
      </c>
    </row>
    <row r="4" spans="1:12" x14ac:dyDescent="0.3">
      <c r="B4" t="s">
        <v>34</v>
      </c>
      <c r="C4" t="s">
        <v>47</v>
      </c>
      <c r="D4" t="s">
        <v>46</v>
      </c>
      <c r="E4" t="s">
        <v>55</v>
      </c>
      <c r="F4" t="s">
        <v>88</v>
      </c>
      <c r="G4" t="s">
        <v>89</v>
      </c>
      <c r="J4" t="s">
        <v>88</v>
      </c>
      <c r="K4">
        <f>COUNTIF('Mistake Log'!$C$5:$C$304,$J4)</f>
        <v>0</v>
      </c>
      <c r="L4">
        <f t="shared" si="0"/>
        <v>4.0000000000000003E-5</v>
      </c>
    </row>
    <row r="5" spans="1:12" x14ac:dyDescent="0.3">
      <c r="B5" t="s">
        <v>35</v>
      </c>
      <c r="E5" t="s">
        <v>56</v>
      </c>
      <c r="F5" t="s">
        <v>90</v>
      </c>
      <c r="G5" t="s">
        <v>16</v>
      </c>
      <c r="J5" t="s">
        <v>90</v>
      </c>
      <c r="K5">
        <f>COUNTIF('Mistake Log'!$C$5:$C$304,$J5)</f>
        <v>0</v>
      </c>
      <c r="L5">
        <f t="shared" si="0"/>
        <v>5.0000000000000002E-5</v>
      </c>
    </row>
    <row r="6" spans="1:12" x14ac:dyDescent="0.3">
      <c r="B6" t="s">
        <v>19</v>
      </c>
      <c r="E6" t="s">
        <v>57</v>
      </c>
      <c r="F6" t="s">
        <v>91</v>
      </c>
      <c r="G6" t="s">
        <v>92</v>
      </c>
      <c r="J6" t="s">
        <v>91</v>
      </c>
      <c r="K6">
        <f>COUNTIF('Mistake Log'!$C$5:$C$304,$J6)</f>
        <v>0</v>
      </c>
      <c r="L6">
        <f t="shared" si="0"/>
        <v>6.0000000000000002E-5</v>
      </c>
    </row>
    <row r="7" spans="1:12" x14ac:dyDescent="0.3">
      <c r="B7" t="s">
        <v>36</v>
      </c>
      <c r="E7" t="s">
        <v>58</v>
      </c>
      <c r="F7" t="s">
        <v>93</v>
      </c>
      <c r="G7" t="s">
        <v>94</v>
      </c>
      <c r="J7" t="s">
        <v>93</v>
      </c>
      <c r="K7">
        <f>COUNTIF('Mistake Log'!$C$5:$C$304,$J7)</f>
        <v>0</v>
      </c>
      <c r="L7">
        <f t="shared" si="0"/>
        <v>6.9999999999999994E-5</v>
      </c>
    </row>
    <row r="8" spans="1:12" x14ac:dyDescent="0.3">
      <c r="B8" t="s">
        <v>37</v>
      </c>
      <c r="E8" t="s">
        <v>59</v>
      </c>
      <c r="F8" t="s">
        <v>95</v>
      </c>
      <c r="G8" t="s">
        <v>96</v>
      </c>
      <c r="J8" t="s">
        <v>95</v>
      </c>
      <c r="K8">
        <f>COUNTIF('Mistake Log'!$C$5:$C$304,$J8)</f>
        <v>0</v>
      </c>
      <c r="L8">
        <f t="shared" si="0"/>
        <v>8.0000000000000007E-5</v>
      </c>
    </row>
    <row r="9" spans="1:12" x14ac:dyDescent="0.3">
      <c r="B9" t="s">
        <v>38</v>
      </c>
      <c r="E9" t="s">
        <v>60</v>
      </c>
      <c r="F9" t="s">
        <v>97</v>
      </c>
      <c r="G9" t="s">
        <v>98</v>
      </c>
      <c r="J9" t="s">
        <v>97</v>
      </c>
      <c r="K9">
        <f>COUNTIF('Mistake Log'!$C$5:$C$304,$J9)</f>
        <v>0</v>
      </c>
      <c r="L9">
        <f t="shared" si="0"/>
        <v>9.0000000000000006E-5</v>
      </c>
    </row>
    <row r="10" spans="1:12" x14ac:dyDescent="0.3">
      <c r="B10" t="s">
        <v>39</v>
      </c>
      <c r="E10" t="s">
        <v>61</v>
      </c>
      <c r="F10" t="s">
        <v>99</v>
      </c>
      <c r="G10" t="s">
        <v>100</v>
      </c>
      <c r="J10" t="s">
        <v>99</v>
      </c>
      <c r="K10">
        <f>COUNTIF('Mistake Log'!$C$5:$C$304,$J10)</f>
        <v>0</v>
      </c>
      <c r="L10">
        <f t="shared" si="0"/>
        <v>1E-4</v>
      </c>
    </row>
    <row r="11" spans="1:12" x14ac:dyDescent="0.3">
      <c r="F11" t="s">
        <v>101</v>
      </c>
      <c r="G11" t="s">
        <v>102</v>
      </c>
      <c r="J11" t="s">
        <v>101</v>
      </c>
      <c r="K11">
        <f>COUNTIF('Mistake Log'!$C$5:$C$304,$J11)</f>
        <v>0</v>
      </c>
      <c r="L11">
        <f t="shared" si="0"/>
        <v>1.1E-4</v>
      </c>
    </row>
    <row r="12" spans="1:12" x14ac:dyDescent="0.3">
      <c r="F12" t="s">
        <v>103</v>
      </c>
      <c r="G12" t="s">
        <v>104</v>
      </c>
      <c r="J12" t="s">
        <v>103</v>
      </c>
      <c r="K12">
        <f>COUNTIF('Mistake Log'!$C$5:$C$304,$J12)</f>
        <v>0</v>
      </c>
      <c r="L12">
        <f t="shared" si="0"/>
        <v>1.2E-4</v>
      </c>
    </row>
    <row r="13" spans="1:12" x14ac:dyDescent="0.3">
      <c r="G13" t="s">
        <v>105</v>
      </c>
      <c r="J13" t="s">
        <v>84</v>
      </c>
      <c r="K13">
        <f>COUNTIF('Mistake Log'!$C$5:$C$304,$J13)</f>
        <v>0</v>
      </c>
      <c r="L13">
        <f t="shared" si="0"/>
        <v>1.2999999999999999E-4</v>
      </c>
    </row>
    <row r="14" spans="1:12" x14ac:dyDescent="0.3">
      <c r="G14" t="s">
        <v>106</v>
      </c>
      <c r="J14" t="s">
        <v>87</v>
      </c>
      <c r="K14">
        <f>COUNTIF('Mistake Log'!$C$5:$C$304,$J14)</f>
        <v>0</v>
      </c>
      <c r="L14">
        <f t="shared" si="0"/>
        <v>1.3999999999999999E-4</v>
      </c>
    </row>
    <row r="15" spans="1:12" x14ac:dyDescent="0.3">
      <c r="G15" t="s">
        <v>107</v>
      </c>
      <c r="J15" t="s">
        <v>89</v>
      </c>
      <c r="K15">
        <f>COUNTIF('Mistake Log'!$C$5:$C$304,$J15)</f>
        <v>0</v>
      </c>
      <c r="L15">
        <f t="shared" si="0"/>
        <v>1.4999999999999999E-4</v>
      </c>
    </row>
    <row r="16" spans="1:12" x14ac:dyDescent="0.3">
      <c r="G16" t="s">
        <v>108</v>
      </c>
      <c r="J16" t="s">
        <v>16</v>
      </c>
      <c r="K16">
        <f>COUNTIF('Mistake Log'!$C$5:$C$304,$J16)</f>
        <v>1</v>
      </c>
      <c r="L16">
        <f t="shared" si="0"/>
        <v>1.0001599999999999</v>
      </c>
    </row>
    <row r="17" spans="7:12" x14ac:dyDescent="0.3">
      <c r="G17" t="s">
        <v>109</v>
      </c>
      <c r="J17" t="s">
        <v>92</v>
      </c>
      <c r="K17">
        <f>COUNTIF('Mistake Log'!$C$5:$C$304,$J17)</f>
        <v>0</v>
      </c>
      <c r="L17">
        <f t="shared" si="0"/>
        <v>1.7000000000000001E-4</v>
      </c>
    </row>
    <row r="18" spans="7:12" x14ac:dyDescent="0.3">
      <c r="G18" t="s">
        <v>110</v>
      </c>
      <c r="J18" t="s">
        <v>94</v>
      </c>
      <c r="K18">
        <f>COUNTIF('Mistake Log'!$C$5:$C$304,$J18)</f>
        <v>0</v>
      </c>
      <c r="L18">
        <f t="shared" si="0"/>
        <v>1.8000000000000001E-4</v>
      </c>
    </row>
    <row r="19" spans="7:12" x14ac:dyDescent="0.3">
      <c r="G19" t="s">
        <v>111</v>
      </c>
      <c r="J19" t="s">
        <v>96</v>
      </c>
      <c r="K19">
        <f>COUNTIF('Mistake Log'!$C$5:$C$304,$J19)</f>
        <v>0</v>
      </c>
      <c r="L19">
        <f t="shared" si="0"/>
        <v>1.9000000000000001E-4</v>
      </c>
    </row>
    <row r="20" spans="7:12" x14ac:dyDescent="0.3">
      <c r="G20" t="s">
        <v>112</v>
      </c>
      <c r="J20" t="s">
        <v>98</v>
      </c>
      <c r="K20">
        <f>COUNTIF('Mistake Log'!$C$5:$C$304,$J20)</f>
        <v>0</v>
      </c>
      <c r="L20">
        <f t="shared" si="0"/>
        <v>2.0000000000000001E-4</v>
      </c>
    </row>
    <row r="21" spans="7:12" x14ac:dyDescent="0.3">
      <c r="J21" t="s">
        <v>100</v>
      </c>
      <c r="K21">
        <f>COUNTIF('Mistake Log'!$C$5:$C$304,$J21)</f>
        <v>0</v>
      </c>
      <c r="L21">
        <f t="shared" si="0"/>
        <v>2.1000000000000001E-4</v>
      </c>
    </row>
    <row r="22" spans="7:12" x14ac:dyDescent="0.3">
      <c r="J22" t="s">
        <v>102</v>
      </c>
      <c r="K22">
        <f>COUNTIF('Mistake Log'!$C$5:$C$304,$J22)</f>
        <v>0</v>
      </c>
      <c r="L22">
        <f t="shared" si="0"/>
        <v>2.2000000000000001E-4</v>
      </c>
    </row>
    <row r="23" spans="7:12" x14ac:dyDescent="0.3">
      <c r="J23" t="s">
        <v>104</v>
      </c>
      <c r="K23">
        <f>COUNTIF('Mistake Log'!$C$5:$C$304,$J23)</f>
        <v>0</v>
      </c>
      <c r="L23">
        <f t="shared" si="0"/>
        <v>2.3000000000000001E-4</v>
      </c>
    </row>
    <row r="24" spans="7:12" x14ac:dyDescent="0.3">
      <c r="J24" t="s">
        <v>105</v>
      </c>
      <c r="K24">
        <f>COUNTIF('Mistake Log'!$C$5:$C$304,$J24)</f>
        <v>0</v>
      </c>
      <c r="L24">
        <f t="shared" si="0"/>
        <v>2.4000000000000001E-4</v>
      </c>
    </row>
    <row r="25" spans="7:12" x14ac:dyDescent="0.3">
      <c r="J25" t="s">
        <v>106</v>
      </c>
      <c r="K25">
        <f>COUNTIF('Mistake Log'!$C$5:$C$304,$J25)</f>
        <v>0</v>
      </c>
      <c r="L25">
        <f t="shared" si="0"/>
        <v>2.5000000000000001E-4</v>
      </c>
    </row>
    <row r="26" spans="7:12" x14ac:dyDescent="0.3">
      <c r="J26" t="s">
        <v>107</v>
      </c>
      <c r="K26">
        <f>COUNTIF('Mistake Log'!$C$5:$C$304,$J26)</f>
        <v>0</v>
      </c>
      <c r="L26">
        <f t="shared" si="0"/>
        <v>2.5999999999999998E-4</v>
      </c>
    </row>
    <row r="27" spans="7:12" x14ac:dyDescent="0.3">
      <c r="J27" t="s">
        <v>108</v>
      </c>
      <c r="K27">
        <f>COUNTIF('Mistake Log'!$C$5:$C$304,$J27)</f>
        <v>0</v>
      </c>
      <c r="L27">
        <f t="shared" si="0"/>
        <v>2.7E-4</v>
      </c>
    </row>
    <row r="28" spans="7:12" x14ac:dyDescent="0.3">
      <c r="J28" t="s">
        <v>109</v>
      </c>
      <c r="K28">
        <f>COUNTIF('Mistake Log'!$C$5:$C$304,$J28)</f>
        <v>0</v>
      </c>
      <c r="L28">
        <f t="shared" si="0"/>
        <v>2.7999999999999998E-4</v>
      </c>
    </row>
    <row r="29" spans="7:12" x14ac:dyDescent="0.3">
      <c r="J29" t="s">
        <v>110</v>
      </c>
      <c r="K29">
        <f>COUNTIF('Mistake Log'!$C$5:$C$304,$J29)</f>
        <v>0</v>
      </c>
      <c r="L29">
        <f t="shared" si="0"/>
        <v>2.9E-4</v>
      </c>
    </row>
    <row r="30" spans="7:12" x14ac:dyDescent="0.3">
      <c r="J30" t="s">
        <v>111</v>
      </c>
      <c r="K30">
        <f>COUNTIF('Mistake Log'!$C$5:$C$304,$J30)</f>
        <v>0</v>
      </c>
      <c r="L30">
        <f t="shared" si="0"/>
        <v>2.9999999999999997E-4</v>
      </c>
    </row>
    <row r="31" spans="7:12" x14ac:dyDescent="0.3">
      <c r="J31" t="s">
        <v>112</v>
      </c>
      <c r="K31">
        <f>COUNTIF('Mistake Log'!$C$5:$C$304,$J31)</f>
        <v>0</v>
      </c>
      <c r="L31">
        <f t="shared" si="0"/>
        <v>3.1E-4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8</vt:i4>
      </vt:variant>
    </vt:vector>
  </HeadingPairs>
  <TitlesOfParts>
    <vt:vector size="12" baseType="lpstr">
      <vt:lpstr>Mistake Log</vt:lpstr>
      <vt:lpstr>Dashboard</vt:lpstr>
      <vt:lpstr>How To Use</vt:lpstr>
      <vt:lpstr>Lists</vt:lpstr>
      <vt:lpstr>ModuleList</vt:lpstr>
      <vt:lpstr>PriorityList</vt:lpstr>
      <vt:lpstr>secMath</vt:lpstr>
      <vt:lpstr>secRW</vt:lpstr>
      <vt:lpstr>SectionList</vt:lpstr>
      <vt:lpstr>StatusList</vt:lpstr>
      <vt:lpstr>TestList</vt:lpstr>
      <vt:lpstr>TypeList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salar khan</cp:lastModifiedBy>
  <cp:revision>1</cp:revision>
  <dcterms:created xsi:type="dcterms:W3CDTF">2026-07-05T11:35:47Z</dcterms:created>
  <dcterms:modified xsi:type="dcterms:W3CDTF">2026-09-09T10:39:09Z</dcterms:modified>
  <dc:language>en-US</dc:language>
</cp:coreProperties>
</file>